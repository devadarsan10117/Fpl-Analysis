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adarsanna/Downloads/"/>
    </mc:Choice>
  </mc:AlternateContent>
  <xr:revisionPtr revIDLastSave="0" documentId="13_ncr:1_{F5FEE470-41D6-8E4D-B925-035D95062B0B}" xr6:coauthVersionLast="47" xr6:coauthVersionMax="47" xr10:uidLastSave="{00000000-0000-0000-0000-000000000000}"/>
  <bookViews>
    <workbookView xWindow="0" yWindow="0" windowWidth="28800" windowHeight="18000" activeTab="1" xr2:uid="{B6E4A4BD-8AB7-2946-9702-D4630FD854FA}"/>
  </bookViews>
  <sheets>
    <sheet name="Calculated field" sheetId="4" r:id="rId1"/>
    <sheet name="fpl_player_statistics_cleaned" sheetId="3" r:id="rId2"/>
    <sheet name="Sheet1" sheetId="2" r:id="rId3"/>
  </sheets>
  <definedNames>
    <definedName name="ExternalData_1" localSheetId="1" hidden="1">fpl_player_statistics_cleaned!$A$1:$AG$753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753" i="3" l="1"/>
  <c r="AM751" i="3"/>
  <c r="AM749" i="3"/>
  <c r="AM748" i="3"/>
  <c r="AM737" i="3"/>
  <c r="AM736" i="3"/>
  <c r="AM735" i="3"/>
  <c r="AM734" i="3"/>
  <c r="AM733" i="3"/>
  <c r="AM732" i="3"/>
  <c r="AM728" i="3"/>
  <c r="AM724" i="3"/>
  <c r="AM722" i="3"/>
  <c r="AM717" i="3"/>
  <c r="AM715" i="3"/>
  <c r="AM714" i="3"/>
  <c r="AM705" i="3"/>
  <c r="AM702" i="3"/>
  <c r="AM700" i="3"/>
  <c r="AM698" i="3"/>
  <c r="AM696" i="3"/>
  <c r="AM695" i="3"/>
  <c r="AM692" i="3"/>
  <c r="AM691" i="3"/>
  <c r="AM681" i="3"/>
  <c r="AM680" i="3"/>
  <c r="AM676" i="3"/>
  <c r="AM673" i="3"/>
  <c r="AM672" i="3"/>
  <c r="AM666" i="3"/>
  <c r="AM665" i="3"/>
  <c r="AM664" i="3"/>
  <c r="AM662" i="3"/>
  <c r="AM656" i="3"/>
  <c r="AM654" i="3"/>
  <c r="AM653" i="3"/>
  <c r="AM651" i="3"/>
  <c r="AM650" i="3"/>
  <c r="AM649" i="3"/>
  <c r="AM647" i="3"/>
  <c r="AM644" i="3"/>
  <c r="AM635" i="3"/>
  <c r="AM634" i="3"/>
  <c r="AM633" i="3"/>
  <c r="AM632" i="3"/>
  <c r="AM629" i="3"/>
  <c r="AM626" i="3"/>
  <c r="AM625" i="3"/>
  <c r="AM623" i="3"/>
  <c r="AM619" i="3"/>
  <c r="AM618" i="3"/>
  <c r="AM616" i="3"/>
  <c r="AM615" i="3"/>
  <c r="AM613" i="3"/>
  <c r="AM612" i="3"/>
  <c r="AM608" i="3"/>
  <c r="AM607" i="3"/>
  <c r="AM605" i="3"/>
  <c r="AM604" i="3"/>
  <c r="AM603" i="3"/>
  <c r="AM601" i="3"/>
  <c r="AM597" i="3"/>
  <c r="AM596" i="3"/>
  <c r="AM595" i="3"/>
  <c r="AM593" i="3"/>
  <c r="AM589" i="3"/>
  <c r="AM587" i="3"/>
  <c r="AM584" i="3"/>
  <c r="AM583" i="3"/>
  <c r="AM581" i="3"/>
  <c r="AM579" i="3"/>
  <c r="AM578" i="3"/>
  <c r="AM577" i="3"/>
  <c r="AM574" i="3"/>
  <c r="AM572" i="3"/>
  <c r="AM571" i="3"/>
  <c r="AM570" i="3"/>
  <c r="AM569" i="3"/>
  <c r="AM568" i="3"/>
  <c r="AM564" i="3"/>
  <c r="AM560" i="3"/>
  <c r="AM555" i="3"/>
  <c r="AM552" i="3"/>
  <c r="AM551" i="3"/>
  <c r="AM550" i="3"/>
  <c r="AM544" i="3"/>
  <c r="AM542" i="3"/>
  <c r="AM540" i="3"/>
  <c r="AM538" i="3"/>
  <c r="AM535" i="3"/>
  <c r="AM534" i="3"/>
  <c r="AM533" i="3"/>
  <c r="AM531" i="3"/>
  <c r="AM520" i="3"/>
  <c r="AM518" i="3"/>
  <c r="AM516" i="3"/>
  <c r="AM514" i="3"/>
  <c r="AM513" i="3"/>
  <c r="AM510" i="3"/>
  <c r="AM509" i="3"/>
  <c r="AM505" i="3"/>
  <c r="AM502" i="3"/>
  <c r="AM501" i="3"/>
  <c r="AM500" i="3"/>
  <c r="AM499" i="3"/>
  <c r="AM498" i="3"/>
  <c r="AM497" i="3"/>
  <c r="AM492" i="3"/>
  <c r="AM488" i="3"/>
  <c r="AM487" i="3"/>
  <c r="AM486" i="3"/>
  <c r="AM485" i="3"/>
  <c r="AM484" i="3"/>
  <c r="AM483" i="3"/>
  <c r="AM482" i="3"/>
  <c r="AM481" i="3"/>
  <c r="AM478" i="3"/>
  <c r="AM476" i="3"/>
  <c r="AM475" i="3"/>
  <c r="AM474" i="3"/>
  <c r="AM470" i="3"/>
  <c r="AM464" i="3"/>
  <c r="AM458" i="3"/>
  <c r="AM457" i="3"/>
  <c r="AM449" i="3"/>
  <c r="AM446" i="3"/>
  <c r="AM445" i="3"/>
  <c r="AM443" i="3"/>
  <c r="AM441" i="3"/>
  <c r="AM439" i="3"/>
  <c r="AM437" i="3"/>
  <c r="AM436" i="3"/>
  <c r="AM435" i="3"/>
  <c r="AM434" i="3"/>
  <c r="AM433" i="3"/>
  <c r="AM432" i="3"/>
  <c r="AM431" i="3"/>
  <c r="AM429" i="3"/>
  <c r="AM428" i="3"/>
  <c r="AM427" i="3"/>
  <c r="AM424" i="3"/>
  <c r="AM422" i="3"/>
  <c r="AM420" i="3"/>
  <c r="AM416" i="3"/>
  <c r="AM415" i="3"/>
  <c r="AM414" i="3"/>
  <c r="AM413" i="3"/>
  <c r="AM411" i="3"/>
  <c r="AM410" i="3"/>
  <c r="AM409" i="3"/>
  <c r="AM408" i="3"/>
  <c r="AM407" i="3"/>
  <c r="AM406" i="3"/>
  <c r="AM405" i="3"/>
  <c r="AM404" i="3"/>
  <c r="AM403" i="3"/>
  <c r="AM402" i="3"/>
  <c r="AM401" i="3"/>
  <c r="AM400" i="3"/>
  <c r="AM399" i="3"/>
  <c r="AM398" i="3"/>
  <c r="AM396" i="3"/>
  <c r="AM395" i="3"/>
  <c r="AM393" i="3"/>
  <c r="AM392" i="3"/>
  <c r="AM391" i="3"/>
  <c r="AM390" i="3"/>
  <c r="AM389" i="3"/>
  <c r="AM388" i="3"/>
  <c r="AM387" i="3"/>
  <c r="AM385" i="3"/>
  <c r="AM384" i="3"/>
  <c r="AM380" i="3"/>
  <c r="AM379" i="3"/>
  <c r="AM378" i="3"/>
  <c r="AM377" i="3"/>
  <c r="AM375" i="3"/>
  <c r="AM374" i="3"/>
  <c r="AM372" i="3"/>
  <c r="AM371" i="3"/>
  <c r="AM370" i="3"/>
  <c r="AM369" i="3"/>
  <c r="AM368" i="3"/>
  <c r="AM367" i="3"/>
  <c r="AM366" i="3"/>
  <c r="AM365" i="3"/>
  <c r="AM364" i="3"/>
  <c r="AM363" i="3"/>
  <c r="AM362" i="3"/>
  <c r="AM361" i="3"/>
  <c r="AM360" i="3"/>
  <c r="AM359" i="3"/>
  <c r="AM358" i="3"/>
  <c r="AM357" i="3"/>
  <c r="AM356" i="3"/>
  <c r="AM354" i="3"/>
  <c r="AM353" i="3"/>
  <c r="AM351" i="3"/>
  <c r="AM349" i="3"/>
  <c r="AM346" i="3"/>
  <c r="AM345" i="3"/>
  <c r="AM344" i="3"/>
  <c r="AM343" i="3"/>
  <c r="AM342" i="3"/>
  <c r="AM341" i="3"/>
  <c r="AM340" i="3"/>
  <c r="AM339" i="3"/>
  <c r="AM338" i="3"/>
  <c r="AM336" i="3"/>
  <c r="AM335" i="3"/>
  <c r="AM334" i="3"/>
  <c r="AM333" i="3"/>
  <c r="AM332" i="3"/>
  <c r="AM331" i="3"/>
  <c r="AM330" i="3"/>
  <c r="AM329" i="3"/>
  <c r="AM328" i="3"/>
  <c r="AM327" i="3"/>
  <c r="AM326" i="3"/>
  <c r="AM325" i="3"/>
  <c r="AM324" i="3"/>
  <c r="AM323" i="3"/>
  <c r="AM322" i="3"/>
  <c r="AM321" i="3"/>
  <c r="AM320" i="3"/>
  <c r="AM318" i="3"/>
  <c r="AM317" i="3"/>
  <c r="AM316" i="3"/>
  <c r="AM313" i="3"/>
  <c r="AM312" i="3"/>
  <c r="AM311" i="3"/>
  <c r="AM310" i="3"/>
  <c r="AM309" i="3"/>
  <c r="AM307" i="3"/>
  <c r="AM306" i="3"/>
  <c r="AM305" i="3"/>
  <c r="AM304" i="3"/>
  <c r="AM303" i="3"/>
  <c r="AM302" i="3"/>
  <c r="AM301" i="3"/>
  <c r="AM300" i="3"/>
  <c r="AM299" i="3"/>
  <c r="AM298" i="3"/>
  <c r="AM297" i="3"/>
  <c r="AM296" i="3"/>
  <c r="AM295" i="3"/>
  <c r="AM293" i="3"/>
  <c r="AM292" i="3"/>
  <c r="AM291" i="3"/>
  <c r="AM289" i="3"/>
  <c r="AM287" i="3"/>
  <c r="AM286" i="3"/>
  <c r="AM284" i="3"/>
  <c r="AM283" i="3"/>
  <c r="AM282" i="3"/>
  <c r="AM281" i="3"/>
  <c r="AM280" i="3"/>
  <c r="AM279" i="3"/>
  <c r="AM278" i="3"/>
  <c r="AM277" i="3"/>
  <c r="AM276" i="3"/>
  <c r="AM273" i="3"/>
  <c r="AM272" i="3"/>
  <c r="AM271" i="3"/>
  <c r="AM270" i="3"/>
  <c r="AM269" i="3"/>
  <c r="AM268" i="3"/>
  <c r="AM267" i="3"/>
  <c r="AM266" i="3"/>
  <c r="AM265" i="3"/>
  <c r="AM264" i="3"/>
  <c r="AM263" i="3"/>
  <c r="AM262" i="3"/>
  <c r="AM261" i="3"/>
  <c r="AM260" i="3"/>
  <c r="AM259" i="3"/>
  <c r="AM258" i="3"/>
  <c r="AM256" i="3"/>
  <c r="AM255" i="3"/>
  <c r="AM254" i="3"/>
  <c r="AM253" i="3"/>
  <c r="AM252" i="3"/>
  <c r="AM251" i="3"/>
  <c r="AM250" i="3"/>
  <c r="AM249" i="3"/>
  <c r="AM248" i="3"/>
  <c r="AM247" i="3"/>
  <c r="AM246" i="3"/>
  <c r="AM244" i="3"/>
  <c r="AM243" i="3"/>
  <c r="AM242" i="3"/>
  <c r="AM241" i="3"/>
  <c r="AM240" i="3"/>
  <c r="AM239" i="3"/>
  <c r="AM237" i="3"/>
  <c r="AM235" i="3"/>
  <c r="AM234" i="3"/>
  <c r="AM233" i="3"/>
  <c r="AM231" i="3"/>
  <c r="AM230" i="3"/>
  <c r="AM229" i="3"/>
  <c r="AM227" i="3"/>
  <c r="AM226" i="3"/>
  <c r="AM225" i="3"/>
  <c r="AM224" i="3"/>
  <c r="AM223" i="3"/>
  <c r="AM222" i="3"/>
  <c r="AM221" i="3"/>
  <c r="AM220" i="3"/>
  <c r="AM218" i="3"/>
  <c r="AM217" i="3"/>
  <c r="AM215" i="3"/>
  <c r="AM214" i="3"/>
  <c r="AM213" i="3"/>
  <c r="AM212" i="3"/>
  <c r="AM211" i="3"/>
  <c r="AM210" i="3"/>
  <c r="AM209" i="3"/>
  <c r="AM208" i="3"/>
  <c r="AM207" i="3"/>
  <c r="AM206" i="3"/>
  <c r="AM205" i="3"/>
  <c r="AM204" i="3"/>
  <c r="AM203" i="3"/>
  <c r="AM202" i="3"/>
  <c r="AM201" i="3"/>
  <c r="AM199" i="3"/>
  <c r="AM198" i="3"/>
  <c r="AM197" i="3"/>
  <c r="AM196" i="3"/>
  <c r="AM195" i="3"/>
  <c r="AM194" i="3"/>
  <c r="AM193" i="3"/>
  <c r="AM192" i="3"/>
  <c r="AM191" i="3"/>
  <c r="AM190" i="3"/>
  <c r="AM189" i="3"/>
  <c r="AM188" i="3"/>
  <c r="AM187" i="3"/>
  <c r="AM184" i="3"/>
  <c r="AM183" i="3"/>
  <c r="AM182" i="3"/>
  <c r="AM181" i="3"/>
  <c r="AM180" i="3"/>
  <c r="AM179" i="3"/>
  <c r="AM178" i="3"/>
  <c r="AM175" i="3"/>
  <c r="AM174" i="3"/>
  <c r="AM173" i="3"/>
  <c r="AM172" i="3"/>
  <c r="AM171" i="3"/>
  <c r="AM170" i="3"/>
  <c r="AM169" i="3"/>
  <c r="AM168" i="3"/>
  <c r="AM167" i="3"/>
  <c r="AM166" i="3"/>
  <c r="AM165" i="3"/>
  <c r="AM164" i="3"/>
  <c r="AM163" i="3"/>
  <c r="AM162" i="3"/>
  <c r="AM161" i="3"/>
  <c r="AM159" i="3"/>
  <c r="AM158" i="3"/>
  <c r="AM157" i="3"/>
  <c r="AM156" i="3"/>
  <c r="AM155" i="3"/>
  <c r="AM154" i="3"/>
  <c r="AM153" i="3"/>
  <c r="AM152" i="3"/>
  <c r="AM151" i="3"/>
  <c r="AM150" i="3"/>
  <c r="AM149" i="3"/>
  <c r="AM148" i="3"/>
  <c r="AM147" i="3"/>
  <c r="AM146" i="3"/>
  <c r="AM145" i="3"/>
  <c r="AM144" i="3"/>
  <c r="AM143" i="3"/>
  <c r="AM142" i="3"/>
  <c r="AM141" i="3"/>
  <c r="AM140" i="3"/>
  <c r="AM139" i="3"/>
  <c r="AM138" i="3"/>
  <c r="AM137" i="3"/>
  <c r="AM136" i="3"/>
  <c r="AM135" i="3"/>
  <c r="AM134" i="3"/>
  <c r="AM133" i="3"/>
  <c r="AM131" i="3"/>
  <c r="AM130" i="3"/>
  <c r="AM129" i="3"/>
  <c r="AM128" i="3"/>
  <c r="AM127" i="3"/>
  <c r="AM126" i="3"/>
  <c r="AM125" i="3"/>
  <c r="AM124" i="3"/>
  <c r="AM123" i="3"/>
  <c r="AM121" i="3"/>
  <c r="AM120" i="3"/>
  <c r="AM119" i="3"/>
  <c r="AM118" i="3"/>
  <c r="AM117" i="3"/>
  <c r="AM116" i="3"/>
  <c r="AM115" i="3"/>
  <c r="AM114" i="3"/>
  <c r="AM113" i="3"/>
  <c r="AM112" i="3"/>
  <c r="AM111" i="3"/>
  <c r="AM110" i="3"/>
  <c r="AM109" i="3"/>
  <c r="AM108" i="3"/>
  <c r="AM107" i="3"/>
  <c r="AM106" i="3"/>
  <c r="AM105" i="3"/>
  <c r="AM104" i="3"/>
  <c r="AM103" i="3"/>
  <c r="AM102" i="3"/>
  <c r="AM101" i="3"/>
  <c r="AM99" i="3"/>
  <c r="AM98" i="3"/>
  <c r="AM96" i="3"/>
  <c r="AM95" i="3"/>
  <c r="AM94" i="3"/>
  <c r="AM93" i="3"/>
  <c r="AM92" i="3"/>
  <c r="AM91" i="3"/>
  <c r="AM90" i="3"/>
  <c r="AM89" i="3"/>
  <c r="AM88" i="3"/>
  <c r="AM87" i="3"/>
  <c r="AM86" i="3"/>
  <c r="AM85" i="3"/>
  <c r="AM84" i="3"/>
  <c r="AM83" i="3"/>
  <c r="AM82" i="3"/>
  <c r="AM81" i="3"/>
  <c r="AM80" i="3"/>
  <c r="AM79" i="3"/>
  <c r="AM78" i="3"/>
  <c r="AM77" i="3"/>
  <c r="AM76" i="3"/>
  <c r="AM75" i="3"/>
  <c r="AM74" i="3"/>
  <c r="AM73" i="3"/>
  <c r="AM72" i="3"/>
  <c r="AM71" i="3"/>
  <c r="AM70" i="3"/>
  <c r="AM69" i="3"/>
  <c r="AM68" i="3"/>
  <c r="AM67" i="3"/>
  <c r="AM66" i="3"/>
  <c r="AM65" i="3"/>
  <c r="AM64" i="3"/>
  <c r="AM63" i="3"/>
  <c r="AM62" i="3"/>
  <c r="AM60" i="3"/>
  <c r="AM59" i="3"/>
  <c r="AM58" i="3"/>
  <c r="AM57" i="3"/>
  <c r="AM54" i="3"/>
  <c r="AM53" i="3"/>
  <c r="AM52" i="3"/>
  <c r="AM51" i="3"/>
  <c r="AM50" i="3"/>
  <c r="AM49" i="3"/>
  <c r="AM48" i="3"/>
  <c r="AM47" i="3"/>
  <c r="AM46" i="3"/>
  <c r="AM45" i="3"/>
  <c r="AM42" i="3"/>
  <c r="AM41" i="3"/>
  <c r="AM40" i="3"/>
  <c r="AM39" i="3"/>
  <c r="AM38" i="3"/>
  <c r="AM37" i="3"/>
  <c r="AM36" i="3"/>
  <c r="AM35" i="3"/>
  <c r="AM34" i="3"/>
  <c r="AM33" i="3"/>
  <c r="AM32" i="3"/>
  <c r="AM31" i="3"/>
  <c r="AM30" i="3"/>
  <c r="AM28" i="3"/>
  <c r="AM27" i="3"/>
  <c r="AM26" i="3"/>
  <c r="AM25" i="3"/>
  <c r="AM24" i="3"/>
  <c r="AM23" i="3"/>
  <c r="AM22" i="3"/>
  <c r="AM21" i="3"/>
  <c r="AM20" i="3"/>
  <c r="AM19" i="3"/>
  <c r="AM18" i="3"/>
  <c r="AM17" i="3"/>
  <c r="AM16" i="3"/>
  <c r="AM15" i="3"/>
  <c r="AM14" i="3"/>
  <c r="AM13" i="3"/>
  <c r="AM12" i="3"/>
  <c r="AM11" i="3"/>
  <c r="AM10" i="3"/>
  <c r="AM9" i="3"/>
  <c r="AM8" i="3"/>
  <c r="AM7" i="3"/>
  <c r="AM6" i="3"/>
  <c r="AM5" i="3"/>
  <c r="AM4" i="3"/>
  <c r="AM3" i="3"/>
  <c r="AM2" i="3"/>
  <c r="AL753" i="3"/>
  <c r="AL751" i="3"/>
  <c r="AL749" i="3"/>
  <c r="AL748" i="3"/>
  <c r="AL737" i="3"/>
  <c r="AL736" i="3"/>
  <c r="AL735" i="3"/>
  <c r="AL734" i="3"/>
  <c r="AL733" i="3"/>
  <c r="AL732" i="3"/>
  <c r="AL728" i="3"/>
  <c r="AL724" i="3"/>
  <c r="AL722" i="3"/>
  <c r="AL717" i="3"/>
  <c r="AL715" i="3"/>
  <c r="AL714" i="3"/>
  <c r="AL705" i="3"/>
  <c r="AL702" i="3"/>
  <c r="AL700" i="3"/>
  <c r="AL698" i="3"/>
  <c r="AL696" i="3"/>
  <c r="AL695" i="3"/>
  <c r="AL692" i="3"/>
  <c r="AL691" i="3"/>
  <c r="AL681" i="3"/>
  <c r="AL680" i="3"/>
  <c r="AL676" i="3"/>
  <c r="AL673" i="3"/>
  <c r="AL672" i="3"/>
  <c r="AL666" i="3"/>
  <c r="AL665" i="3"/>
  <c r="AL664" i="3"/>
  <c r="AL662" i="3"/>
  <c r="AL656" i="3"/>
  <c r="AL654" i="3"/>
  <c r="AL653" i="3"/>
  <c r="AL651" i="3"/>
  <c r="AL650" i="3"/>
  <c r="AL649" i="3"/>
  <c r="AL647" i="3"/>
  <c r="AL644" i="3"/>
  <c r="AL635" i="3"/>
  <c r="AL634" i="3"/>
  <c r="AL633" i="3"/>
  <c r="AL632" i="3"/>
  <c r="AL629" i="3"/>
  <c r="AL626" i="3"/>
  <c r="AL625" i="3"/>
  <c r="AL623" i="3"/>
  <c r="AL619" i="3"/>
  <c r="AL618" i="3"/>
  <c r="AL616" i="3"/>
  <c r="AL615" i="3"/>
  <c r="AL613" i="3"/>
  <c r="AL612" i="3"/>
  <c r="AL608" i="3"/>
  <c r="AL607" i="3"/>
  <c r="AL605" i="3"/>
  <c r="AL604" i="3"/>
  <c r="AL603" i="3"/>
  <c r="AL601" i="3"/>
  <c r="AL597" i="3"/>
  <c r="AL596" i="3"/>
  <c r="AL595" i="3"/>
  <c r="AL593" i="3"/>
  <c r="AL589" i="3"/>
  <c r="AL587" i="3"/>
  <c r="AL584" i="3"/>
  <c r="AL583" i="3"/>
  <c r="AL581" i="3"/>
  <c r="AL579" i="3"/>
  <c r="AL578" i="3"/>
  <c r="AL577" i="3"/>
  <c r="AL574" i="3"/>
  <c r="AL572" i="3"/>
  <c r="AL571" i="3"/>
  <c r="AL570" i="3"/>
  <c r="AL569" i="3"/>
  <c r="AL568" i="3"/>
  <c r="AL564" i="3"/>
  <c r="AL560" i="3"/>
  <c r="AL555" i="3"/>
  <c r="AL552" i="3"/>
  <c r="AL551" i="3"/>
  <c r="AL550" i="3"/>
  <c r="AL544" i="3"/>
  <c r="AL542" i="3"/>
  <c r="AL540" i="3"/>
  <c r="AL538" i="3"/>
  <c r="AL535" i="3"/>
  <c r="AL534" i="3"/>
  <c r="AL533" i="3"/>
  <c r="AL531" i="3"/>
  <c r="AL520" i="3"/>
  <c r="AL518" i="3"/>
  <c r="AL516" i="3"/>
  <c r="AL514" i="3"/>
  <c r="AL513" i="3"/>
  <c r="AL510" i="3"/>
  <c r="AL509" i="3"/>
  <c r="AL505" i="3"/>
  <c r="AL502" i="3"/>
  <c r="AL501" i="3"/>
  <c r="AL500" i="3"/>
  <c r="AL499" i="3"/>
  <c r="AL498" i="3"/>
  <c r="AL497" i="3"/>
  <c r="AL492" i="3"/>
  <c r="AL488" i="3"/>
  <c r="AL487" i="3"/>
  <c r="AL486" i="3"/>
  <c r="AL485" i="3"/>
  <c r="AL484" i="3"/>
  <c r="AL483" i="3"/>
  <c r="AL482" i="3"/>
  <c r="AL481" i="3"/>
  <c r="AL478" i="3"/>
  <c r="AL476" i="3"/>
  <c r="AL475" i="3"/>
  <c r="AL474" i="3"/>
  <c r="AL470" i="3"/>
  <c r="AL464" i="3"/>
  <c r="AL458" i="3"/>
  <c r="AL457" i="3"/>
  <c r="AL449" i="3"/>
  <c r="AL446" i="3"/>
  <c r="AL445" i="3"/>
  <c r="AL443" i="3"/>
  <c r="AL441" i="3"/>
  <c r="AL439" i="3"/>
  <c r="AL437" i="3"/>
  <c r="AL436" i="3"/>
  <c r="AL435" i="3"/>
  <c r="AL434" i="3"/>
  <c r="AL433" i="3"/>
  <c r="AL432" i="3"/>
  <c r="AL431" i="3"/>
  <c r="AL429" i="3"/>
  <c r="AL428" i="3"/>
  <c r="AL427" i="3"/>
  <c r="AL424" i="3"/>
  <c r="AL422" i="3"/>
  <c r="AL420" i="3"/>
  <c r="AL416" i="3"/>
  <c r="AL415" i="3"/>
  <c r="AL414" i="3"/>
  <c r="AL413" i="3"/>
  <c r="AL411" i="3"/>
  <c r="AL410" i="3"/>
  <c r="AL409" i="3"/>
  <c r="AL408" i="3"/>
  <c r="AL407" i="3"/>
  <c r="AL406" i="3"/>
  <c r="AL405" i="3"/>
  <c r="AL404" i="3"/>
  <c r="AL403" i="3"/>
  <c r="AL402" i="3"/>
  <c r="AL401" i="3"/>
  <c r="AL400" i="3"/>
  <c r="AL399" i="3"/>
  <c r="AL398" i="3"/>
  <c r="AL396" i="3"/>
  <c r="AL395" i="3"/>
  <c r="AL393" i="3"/>
  <c r="AL392" i="3"/>
  <c r="AL391" i="3"/>
  <c r="AL390" i="3"/>
  <c r="AL389" i="3"/>
  <c r="AL388" i="3"/>
  <c r="AL387" i="3"/>
  <c r="AL385" i="3"/>
  <c r="AL384" i="3"/>
  <c r="AL380" i="3"/>
  <c r="AL379" i="3"/>
  <c r="AL378" i="3"/>
  <c r="AL377" i="3"/>
  <c r="AL375" i="3"/>
  <c r="AL374" i="3"/>
  <c r="AL372" i="3"/>
  <c r="AL371" i="3"/>
  <c r="AL370" i="3"/>
  <c r="AL369" i="3"/>
  <c r="AL368" i="3"/>
  <c r="AL367" i="3"/>
  <c r="AL366" i="3"/>
  <c r="AL365" i="3"/>
  <c r="AL364" i="3"/>
  <c r="AL363" i="3"/>
  <c r="AL362" i="3"/>
  <c r="AL361" i="3"/>
  <c r="AL360" i="3"/>
  <c r="AL359" i="3"/>
  <c r="AL358" i="3"/>
  <c r="AL357" i="3"/>
  <c r="AL356" i="3"/>
  <c r="AL354" i="3"/>
  <c r="AL353" i="3"/>
  <c r="AL351" i="3"/>
  <c r="AL349" i="3"/>
  <c r="AL346" i="3"/>
  <c r="AL345" i="3"/>
  <c r="AL344" i="3"/>
  <c r="AL343" i="3"/>
  <c r="AL342" i="3"/>
  <c r="AL341" i="3"/>
  <c r="AL340" i="3"/>
  <c r="AL339" i="3"/>
  <c r="AL338" i="3"/>
  <c r="AL336" i="3"/>
  <c r="AL335" i="3"/>
  <c r="AL334" i="3"/>
  <c r="AL333" i="3"/>
  <c r="AL332" i="3"/>
  <c r="AL331" i="3"/>
  <c r="AL330" i="3"/>
  <c r="AL329" i="3"/>
  <c r="AL328" i="3"/>
  <c r="AL327" i="3"/>
  <c r="AL326" i="3"/>
  <c r="AL325" i="3"/>
  <c r="AL324" i="3"/>
  <c r="AL323" i="3"/>
  <c r="AL322" i="3"/>
  <c r="AL321" i="3"/>
  <c r="AL320" i="3"/>
  <c r="AL318" i="3"/>
  <c r="AL317" i="3"/>
  <c r="AL316" i="3"/>
  <c r="AL313" i="3"/>
  <c r="AL312" i="3"/>
  <c r="AL311" i="3"/>
  <c r="AL310" i="3"/>
  <c r="AL309" i="3"/>
  <c r="AL307" i="3"/>
  <c r="AL306" i="3"/>
  <c r="AL305" i="3"/>
  <c r="AL304" i="3"/>
  <c r="AL303" i="3"/>
  <c r="AL302" i="3"/>
  <c r="AL301" i="3"/>
  <c r="AL300" i="3"/>
  <c r="AL299" i="3"/>
  <c r="AL298" i="3"/>
  <c r="AL297" i="3"/>
  <c r="AL296" i="3"/>
  <c r="AL295" i="3"/>
  <c r="AL293" i="3"/>
  <c r="AL292" i="3"/>
  <c r="AL291" i="3"/>
  <c r="AL289" i="3"/>
  <c r="AL287" i="3"/>
  <c r="AL286" i="3"/>
  <c r="AL284" i="3"/>
  <c r="AL283" i="3"/>
  <c r="AL282" i="3"/>
  <c r="AL281" i="3"/>
  <c r="AL280" i="3"/>
  <c r="AL279" i="3"/>
  <c r="AL278" i="3"/>
  <c r="AL277" i="3"/>
  <c r="AL276" i="3"/>
  <c r="AL273" i="3"/>
  <c r="AL272" i="3"/>
  <c r="AL271" i="3"/>
  <c r="AL270" i="3"/>
  <c r="AL269" i="3"/>
  <c r="AL268" i="3"/>
  <c r="AL267" i="3"/>
  <c r="AL266" i="3"/>
  <c r="AL265" i="3"/>
  <c r="AL264" i="3"/>
  <c r="AL263" i="3"/>
  <c r="AL262" i="3"/>
  <c r="AL261" i="3"/>
  <c r="AL260" i="3"/>
  <c r="AL259" i="3"/>
  <c r="AL258" i="3"/>
  <c r="AL256" i="3"/>
  <c r="AL255" i="3"/>
  <c r="AL254" i="3"/>
  <c r="AL253" i="3"/>
  <c r="AL252" i="3"/>
  <c r="AL251" i="3"/>
  <c r="AL250" i="3"/>
  <c r="AL249" i="3"/>
  <c r="AL248" i="3"/>
  <c r="AL247" i="3"/>
  <c r="AL246" i="3"/>
  <c r="AL244" i="3"/>
  <c r="AL243" i="3"/>
  <c r="AL242" i="3"/>
  <c r="AL241" i="3"/>
  <c r="AL240" i="3"/>
  <c r="AL239" i="3"/>
  <c r="AL237" i="3"/>
  <c r="AL235" i="3"/>
  <c r="AL234" i="3"/>
  <c r="AL233" i="3"/>
  <c r="AL231" i="3"/>
  <c r="AL230" i="3"/>
  <c r="AL229" i="3"/>
  <c r="AL227" i="3"/>
  <c r="AL226" i="3"/>
  <c r="AL225" i="3"/>
  <c r="AL224" i="3"/>
  <c r="AL223" i="3"/>
  <c r="AL222" i="3"/>
  <c r="AL221" i="3"/>
  <c r="AL220" i="3"/>
  <c r="AL218" i="3"/>
  <c r="AL217" i="3"/>
  <c r="AL215" i="3"/>
  <c r="AL214" i="3"/>
  <c r="AL213" i="3"/>
  <c r="AL212" i="3"/>
  <c r="AL211" i="3"/>
  <c r="AL210" i="3"/>
  <c r="AL209" i="3"/>
  <c r="AL208" i="3"/>
  <c r="AL207" i="3"/>
  <c r="AL206" i="3"/>
  <c r="AL205" i="3"/>
  <c r="AL204" i="3"/>
  <c r="AL203" i="3"/>
  <c r="AL202" i="3"/>
  <c r="AL201" i="3"/>
  <c r="AL199" i="3"/>
  <c r="AL198" i="3"/>
  <c r="AL197" i="3"/>
  <c r="AL196" i="3"/>
  <c r="AL195" i="3"/>
  <c r="AL194" i="3"/>
  <c r="AL193" i="3"/>
  <c r="AL192" i="3"/>
  <c r="AL191" i="3"/>
  <c r="AL190" i="3"/>
  <c r="AL189" i="3"/>
  <c r="AL188" i="3"/>
  <c r="AL187" i="3"/>
  <c r="AL184" i="3"/>
  <c r="AL183" i="3"/>
  <c r="AL182" i="3"/>
  <c r="AL181" i="3"/>
  <c r="AL180" i="3"/>
  <c r="AL179" i="3"/>
  <c r="AL178" i="3"/>
  <c r="AL175" i="3"/>
  <c r="AL174" i="3"/>
  <c r="AL173" i="3"/>
  <c r="AL172" i="3"/>
  <c r="AL171" i="3"/>
  <c r="AL170" i="3"/>
  <c r="AL169" i="3"/>
  <c r="AL168" i="3"/>
  <c r="AL167" i="3"/>
  <c r="AL166" i="3"/>
  <c r="AL165" i="3"/>
  <c r="AL164" i="3"/>
  <c r="AL163" i="3"/>
  <c r="AL162" i="3"/>
  <c r="AL161" i="3"/>
  <c r="AL159" i="3"/>
  <c r="AL158" i="3"/>
  <c r="AL157" i="3"/>
  <c r="AL156" i="3"/>
  <c r="AL155" i="3"/>
  <c r="AL154" i="3"/>
  <c r="AL153" i="3"/>
  <c r="AL152" i="3"/>
  <c r="AL151" i="3"/>
  <c r="AL150" i="3"/>
  <c r="AL149" i="3"/>
  <c r="AL148" i="3"/>
  <c r="AL147" i="3"/>
  <c r="AL146" i="3"/>
  <c r="AL145" i="3"/>
  <c r="AL144" i="3"/>
  <c r="AL143" i="3"/>
  <c r="AL142" i="3"/>
  <c r="AL141" i="3"/>
  <c r="AL140" i="3"/>
  <c r="AL139" i="3"/>
  <c r="AL138" i="3"/>
  <c r="AL137" i="3"/>
  <c r="AL136" i="3"/>
  <c r="AL135" i="3"/>
  <c r="AL134" i="3"/>
  <c r="AL133" i="3"/>
  <c r="AL131" i="3"/>
  <c r="AL130" i="3"/>
  <c r="AL129" i="3"/>
  <c r="AL128" i="3"/>
  <c r="AL127" i="3"/>
  <c r="AL126" i="3"/>
  <c r="AL125" i="3"/>
  <c r="AL124" i="3"/>
  <c r="AL123" i="3"/>
  <c r="AL121" i="3"/>
  <c r="AL120" i="3"/>
  <c r="AL119" i="3"/>
  <c r="AL118" i="3"/>
  <c r="AL117" i="3"/>
  <c r="AL116" i="3"/>
  <c r="AL115" i="3"/>
  <c r="AL114" i="3"/>
  <c r="AL113" i="3"/>
  <c r="AL112" i="3"/>
  <c r="AL111" i="3"/>
  <c r="AL110" i="3"/>
  <c r="AL109" i="3"/>
  <c r="AL108" i="3"/>
  <c r="AL107" i="3"/>
  <c r="AL106" i="3"/>
  <c r="AL105" i="3"/>
  <c r="AL104" i="3"/>
  <c r="AL103" i="3"/>
  <c r="AL102" i="3"/>
  <c r="AL101" i="3"/>
  <c r="AL99" i="3"/>
  <c r="AL98" i="3"/>
  <c r="AL96" i="3"/>
  <c r="AL95" i="3"/>
  <c r="AL94" i="3"/>
  <c r="AL93" i="3"/>
  <c r="AL92" i="3"/>
  <c r="AL91" i="3"/>
  <c r="AL90" i="3"/>
  <c r="AL89" i="3"/>
  <c r="AL88" i="3"/>
  <c r="AL87" i="3"/>
  <c r="AL86" i="3"/>
  <c r="AL85" i="3"/>
  <c r="AL84" i="3"/>
  <c r="AL83" i="3"/>
  <c r="AL82" i="3"/>
  <c r="AL81" i="3"/>
  <c r="AL80" i="3"/>
  <c r="AL79" i="3"/>
  <c r="AL78" i="3"/>
  <c r="AL77" i="3"/>
  <c r="AL76" i="3"/>
  <c r="AL75" i="3"/>
  <c r="AL74" i="3"/>
  <c r="AL73" i="3"/>
  <c r="AL72" i="3"/>
  <c r="AL71" i="3"/>
  <c r="AL70" i="3"/>
  <c r="AL69" i="3"/>
  <c r="AL68" i="3"/>
  <c r="AL67" i="3"/>
  <c r="AL66" i="3"/>
  <c r="AL65" i="3"/>
  <c r="AL64" i="3"/>
  <c r="AL63" i="3"/>
  <c r="AL62" i="3"/>
  <c r="AL60" i="3"/>
  <c r="AL59" i="3"/>
  <c r="AL58" i="3"/>
  <c r="AL57" i="3"/>
  <c r="AL54" i="3"/>
  <c r="AL53" i="3"/>
  <c r="AL52" i="3"/>
  <c r="AL51" i="3"/>
  <c r="AL50" i="3"/>
  <c r="AL49" i="3"/>
  <c r="AL48" i="3"/>
  <c r="AL47" i="3"/>
  <c r="AL46" i="3"/>
  <c r="AL45" i="3"/>
  <c r="AL42" i="3"/>
  <c r="AL41" i="3"/>
  <c r="AL40" i="3"/>
  <c r="AL39" i="3"/>
  <c r="AL38" i="3"/>
  <c r="AL37" i="3"/>
  <c r="AL36" i="3"/>
  <c r="AL35" i="3"/>
  <c r="AL34" i="3"/>
  <c r="AL33" i="3"/>
  <c r="AL32" i="3"/>
  <c r="AL31" i="3"/>
  <c r="AL30" i="3"/>
  <c r="AL28" i="3"/>
  <c r="AL27" i="3"/>
  <c r="AL26" i="3"/>
  <c r="AL25" i="3"/>
  <c r="AL24" i="3"/>
  <c r="AL23" i="3"/>
  <c r="AL22" i="3"/>
  <c r="AL21" i="3"/>
  <c r="AL20" i="3"/>
  <c r="AL19" i="3"/>
  <c r="AL18" i="3"/>
  <c r="AL17" i="3"/>
  <c r="AL16" i="3"/>
  <c r="AL15" i="3"/>
  <c r="AL14" i="3"/>
  <c r="AL13" i="3"/>
  <c r="AL12" i="3"/>
  <c r="AL11" i="3"/>
  <c r="AL10" i="3"/>
  <c r="AL9" i="3"/>
  <c r="AL8" i="3"/>
  <c r="AL7" i="3"/>
  <c r="AL6" i="3"/>
  <c r="AL5" i="3"/>
  <c r="AL4" i="3"/>
  <c r="AL3" i="3"/>
  <c r="AL2" i="3"/>
  <c r="AK753" i="3"/>
  <c r="AK751" i="3"/>
  <c r="AK749" i="3"/>
  <c r="AK748" i="3"/>
  <c r="AK737" i="3"/>
  <c r="AK736" i="3"/>
  <c r="AK735" i="3"/>
  <c r="AK734" i="3"/>
  <c r="AK733" i="3"/>
  <c r="AK732" i="3"/>
  <c r="AK728" i="3"/>
  <c r="AK724" i="3"/>
  <c r="AK722" i="3"/>
  <c r="AK717" i="3"/>
  <c r="AK715" i="3"/>
  <c r="AK714" i="3"/>
  <c r="AK705" i="3"/>
  <c r="AK702" i="3"/>
  <c r="AK700" i="3"/>
  <c r="AK698" i="3"/>
  <c r="AK696" i="3"/>
  <c r="AK695" i="3"/>
  <c r="AK692" i="3"/>
  <c r="AK691" i="3"/>
  <c r="AK681" i="3"/>
  <c r="AK680" i="3"/>
  <c r="AK676" i="3"/>
  <c r="AK673" i="3"/>
  <c r="AK672" i="3"/>
  <c r="AK666" i="3"/>
  <c r="AK665" i="3"/>
  <c r="AK664" i="3"/>
  <c r="AK662" i="3"/>
  <c r="AK656" i="3"/>
  <c r="AK654" i="3"/>
  <c r="AK653" i="3"/>
  <c r="AK651" i="3"/>
  <c r="AK650" i="3"/>
  <c r="AK649" i="3"/>
  <c r="AK647" i="3"/>
  <c r="AK644" i="3"/>
  <c r="AK635" i="3"/>
  <c r="AK634" i="3"/>
  <c r="AK633" i="3"/>
  <c r="AK632" i="3"/>
  <c r="AK629" i="3"/>
  <c r="AK626" i="3"/>
  <c r="AK625" i="3"/>
  <c r="AK623" i="3"/>
  <c r="AK619" i="3"/>
  <c r="AK618" i="3"/>
  <c r="AK616" i="3"/>
  <c r="AK615" i="3"/>
  <c r="AK613" i="3"/>
  <c r="AK612" i="3"/>
  <c r="AK608" i="3"/>
  <c r="AK607" i="3"/>
  <c r="AK605" i="3"/>
  <c r="AK604" i="3"/>
  <c r="AK603" i="3"/>
  <c r="AK601" i="3"/>
  <c r="AK597" i="3"/>
  <c r="AK596" i="3"/>
  <c r="AK595" i="3"/>
  <c r="AK593" i="3"/>
  <c r="AK589" i="3"/>
  <c r="AK587" i="3"/>
  <c r="AK584" i="3"/>
  <c r="AK583" i="3"/>
  <c r="AK581" i="3"/>
  <c r="AK579" i="3"/>
  <c r="AK578" i="3"/>
  <c r="AK577" i="3"/>
  <c r="AK574" i="3"/>
  <c r="AK572" i="3"/>
  <c r="AK571" i="3"/>
  <c r="AK570" i="3"/>
  <c r="AK569" i="3"/>
  <c r="AK568" i="3"/>
  <c r="AK564" i="3"/>
  <c r="AK560" i="3"/>
  <c r="AK555" i="3"/>
  <c r="AK552" i="3"/>
  <c r="AK551" i="3"/>
  <c r="AK550" i="3"/>
  <c r="AK544" i="3"/>
  <c r="AK542" i="3"/>
  <c r="AK540" i="3"/>
  <c r="AK538" i="3"/>
  <c r="AK535" i="3"/>
  <c r="AK534" i="3"/>
  <c r="AK533" i="3"/>
  <c r="AK531" i="3"/>
  <c r="AK520" i="3"/>
  <c r="AK518" i="3"/>
  <c r="AK516" i="3"/>
  <c r="AK514" i="3"/>
  <c r="AK513" i="3"/>
  <c r="AK510" i="3"/>
  <c r="AK509" i="3"/>
  <c r="AK505" i="3"/>
  <c r="AK502" i="3"/>
  <c r="AK501" i="3"/>
  <c r="AK500" i="3"/>
  <c r="AK499" i="3"/>
  <c r="AK498" i="3"/>
  <c r="AK497" i="3"/>
  <c r="AK492" i="3"/>
  <c r="AK488" i="3"/>
  <c r="AK487" i="3"/>
  <c r="AK486" i="3"/>
  <c r="AK485" i="3"/>
  <c r="AK484" i="3"/>
  <c r="AK483" i="3"/>
  <c r="AK482" i="3"/>
  <c r="AK481" i="3"/>
  <c r="AK478" i="3"/>
  <c r="AK476" i="3"/>
  <c r="AK475" i="3"/>
  <c r="AK474" i="3"/>
  <c r="AK470" i="3"/>
  <c r="AK464" i="3"/>
  <c r="AK458" i="3"/>
  <c r="AK457" i="3"/>
  <c r="AK449" i="3"/>
  <c r="AK446" i="3"/>
  <c r="AK445" i="3"/>
  <c r="AK443" i="3"/>
  <c r="AK441" i="3"/>
  <c r="AK439" i="3"/>
  <c r="AK437" i="3"/>
  <c r="AK436" i="3"/>
  <c r="AK435" i="3"/>
  <c r="AK434" i="3"/>
  <c r="AK433" i="3"/>
  <c r="AK432" i="3"/>
  <c r="AK431" i="3"/>
  <c r="AK429" i="3"/>
  <c r="AK428" i="3"/>
  <c r="AK427" i="3"/>
  <c r="AK424" i="3"/>
  <c r="AK422" i="3"/>
  <c r="AK420" i="3"/>
  <c r="AK416" i="3"/>
  <c r="AK415" i="3"/>
  <c r="AK414" i="3"/>
  <c r="AK413" i="3"/>
  <c r="AK411" i="3"/>
  <c r="AK410" i="3"/>
  <c r="AK409" i="3"/>
  <c r="AK408" i="3"/>
  <c r="AK407" i="3"/>
  <c r="AK406" i="3"/>
  <c r="AK405" i="3"/>
  <c r="AK404" i="3"/>
  <c r="AK403" i="3"/>
  <c r="AK402" i="3"/>
  <c r="AK401" i="3"/>
  <c r="AK400" i="3"/>
  <c r="AK399" i="3"/>
  <c r="AK398" i="3"/>
  <c r="AK396" i="3"/>
  <c r="AK395" i="3"/>
  <c r="AK393" i="3"/>
  <c r="AK392" i="3"/>
  <c r="AK391" i="3"/>
  <c r="AK390" i="3"/>
  <c r="AK389" i="3"/>
  <c r="AK388" i="3"/>
  <c r="AK387" i="3"/>
  <c r="AK385" i="3"/>
  <c r="AK384" i="3"/>
  <c r="AK380" i="3"/>
  <c r="AK379" i="3"/>
  <c r="AK378" i="3"/>
  <c r="AK377" i="3"/>
  <c r="AK375" i="3"/>
  <c r="AK374" i="3"/>
  <c r="AK372" i="3"/>
  <c r="AK371" i="3"/>
  <c r="AK370" i="3"/>
  <c r="AK369" i="3"/>
  <c r="AK368" i="3"/>
  <c r="AK367" i="3"/>
  <c r="AK366" i="3"/>
  <c r="AK365" i="3"/>
  <c r="AK364" i="3"/>
  <c r="AK363" i="3"/>
  <c r="AK362" i="3"/>
  <c r="AK361" i="3"/>
  <c r="AK360" i="3"/>
  <c r="AK359" i="3"/>
  <c r="AK358" i="3"/>
  <c r="AK357" i="3"/>
  <c r="AK356" i="3"/>
  <c r="AK354" i="3"/>
  <c r="AK353" i="3"/>
  <c r="AK351" i="3"/>
  <c r="AK349" i="3"/>
  <c r="AK346" i="3"/>
  <c r="AK345" i="3"/>
  <c r="AK344" i="3"/>
  <c r="AK343" i="3"/>
  <c r="AK342" i="3"/>
  <c r="AK341" i="3"/>
  <c r="AK340" i="3"/>
  <c r="AK339" i="3"/>
  <c r="AK338" i="3"/>
  <c r="AK336" i="3"/>
  <c r="AK335" i="3"/>
  <c r="AK334" i="3"/>
  <c r="AK333" i="3"/>
  <c r="AK332" i="3"/>
  <c r="AK331" i="3"/>
  <c r="AK330" i="3"/>
  <c r="AK329" i="3"/>
  <c r="AK328" i="3"/>
  <c r="AK327" i="3"/>
  <c r="AK326" i="3"/>
  <c r="AK325" i="3"/>
  <c r="AK324" i="3"/>
  <c r="AK323" i="3"/>
  <c r="AK322" i="3"/>
  <c r="AK321" i="3"/>
  <c r="AK320" i="3"/>
  <c r="AK318" i="3"/>
  <c r="AK317" i="3"/>
  <c r="AK316" i="3"/>
  <c r="AK313" i="3"/>
  <c r="AK312" i="3"/>
  <c r="AK311" i="3"/>
  <c r="AK310" i="3"/>
  <c r="AK309" i="3"/>
  <c r="AK307" i="3"/>
  <c r="AK306" i="3"/>
  <c r="AK305" i="3"/>
  <c r="AK304" i="3"/>
  <c r="AK303" i="3"/>
  <c r="AK302" i="3"/>
  <c r="AK301" i="3"/>
  <c r="AK300" i="3"/>
  <c r="AK299" i="3"/>
  <c r="AK298" i="3"/>
  <c r="AK297" i="3"/>
  <c r="AK296" i="3"/>
  <c r="AK295" i="3"/>
  <c r="AK293" i="3"/>
  <c r="AK292" i="3"/>
  <c r="AK291" i="3"/>
  <c r="AK289" i="3"/>
  <c r="AK287" i="3"/>
  <c r="AK286" i="3"/>
  <c r="AK284" i="3"/>
  <c r="AK283" i="3"/>
  <c r="AK282" i="3"/>
  <c r="AK281" i="3"/>
  <c r="AK280" i="3"/>
  <c r="AK279" i="3"/>
  <c r="AK278" i="3"/>
  <c r="AK277" i="3"/>
  <c r="AK276" i="3"/>
  <c r="AK273" i="3"/>
  <c r="AK272" i="3"/>
  <c r="AK271" i="3"/>
  <c r="AK270" i="3"/>
  <c r="AK269" i="3"/>
  <c r="AK268" i="3"/>
  <c r="AK267" i="3"/>
  <c r="AK266" i="3"/>
  <c r="AK265" i="3"/>
  <c r="AK264" i="3"/>
  <c r="AK263" i="3"/>
  <c r="AK262" i="3"/>
  <c r="AK261" i="3"/>
  <c r="AK260" i="3"/>
  <c r="AK259" i="3"/>
  <c r="AK258" i="3"/>
  <c r="AK256" i="3"/>
  <c r="AK255" i="3"/>
  <c r="AK254" i="3"/>
  <c r="AK253" i="3"/>
  <c r="AK252" i="3"/>
  <c r="AK251" i="3"/>
  <c r="AK250" i="3"/>
  <c r="AK249" i="3"/>
  <c r="AK248" i="3"/>
  <c r="AK247" i="3"/>
  <c r="AK246" i="3"/>
  <c r="AK244" i="3"/>
  <c r="AK243" i="3"/>
  <c r="AK242" i="3"/>
  <c r="AK241" i="3"/>
  <c r="AK240" i="3"/>
  <c r="AK239" i="3"/>
  <c r="AK237" i="3"/>
  <c r="AK235" i="3"/>
  <c r="AK234" i="3"/>
  <c r="AK233" i="3"/>
  <c r="AK231" i="3"/>
  <c r="AK230" i="3"/>
  <c r="AK229" i="3"/>
  <c r="AK227" i="3"/>
  <c r="AK226" i="3"/>
  <c r="AK225" i="3"/>
  <c r="AK224" i="3"/>
  <c r="AK223" i="3"/>
  <c r="AK222" i="3"/>
  <c r="AK221" i="3"/>
  <c r="AK220" i="3"/>
  <c r="AK218" i="3"/>
  <c r="AK217" i="3"/>
  <c r="AK215" i="3"/>
  <c r="AK214" i="3"/>
  <c r="AK213" i="3"/>
  <c r="AK212" i="3"/>
  <c r="AK211" i="3"/>
  <c r="AK210" i="3"/>
  <c r="AK209" i="3"/>
  <c r="AK208" i="3"/>
  <c r="AK207" i="3"/>
  <c r="AK206" i="3"/>
  <c r="AK205" i="3"/>
  <c r="AK204" i="3"/>
  <c r="AK203" i="3"/>
  <c r="AK202" i="3"/>
  <c r="AK201" i="3"/>
  <c r="AK199" i="3"/>
  <c r="AK198" i="3"/>
  <c r="AK197" i="3"/>
  <c r="AK196" i="3"/>
  <c r="AK195" i="3"/>
  <c r="AK194" i="3"/>
  <c r="AK193" i="3"/>
  <c r="AK192" i="3"/>
  <c r="AK191" i="3"/>
  <c r="AK190" i="3"/>
  <c r="AK189" i="3"/>
  <c r="AK188" i="3"/>
  <c r="AK187" i="3"/>
  <c r="AK184" i="3"/>
  <c r="AK183" i="3"/>
  <c r="AK182" i="3"/>
  <c r="AK181" i="3"/>
  <c r="AK180" i="3"/>
  <c r="AK179" i="3"/>
  <c r="AK178" i="3"/>
  <c r="AK175" i="3"/>
  <c r="AK174" i="3"/>
  <c r="AK173" i="3"/>
  <c r="AK172" i="3"/>
  <c r="AK171" i="3"/>
  <c r="AK170" i="3"/>
  <c r="AK169" i="3"/>
  <c r="AK168" i="3"/>
  <c r="AK167" i="3"/>
  <c r="AK166" i="3"/>
  <c r="AK165" i="3"/>
  <c r="AK164" i="3"/>
  <c r="AK163" i="3"/>
  <c r="AK162" i="3"/>
  <c r="AK161" i="3"/>
  <c r="AK159" i="3"/>
  <c r="AK158" i="3"/>
  <c r="AK157" i="3"/>
  <c r="AK156" i="3"/>
  <c r="AK155" i="3"/>
  <c r="AK154" i="3"/>
  <c r="AK153" i="3"/>
  <c r="AK152" i="3"/>
  <c r="AK151" i="3"/>
  <c r="AK150" i="3"/>
  <c r="AK149" i="3"/>
  <c r="AK148" i="3"/>
  <c r="AK147" i="3"/>
  <c r="AK146" i="3"/>
  <c r="AK145" i="3"/>
  <c r="AK144" i="3"/>
  <c r="AK143" i="3"/>
  <c r="AK142" i="3"/>
  <c r="AK141" i="3"/>
  <c r="AK140" i="3"/>
  <c r="AK139" i="3"/>
  <c r="AK138" i="3"/>
  <c r="AK137" i="3"/>
  <c r="AK136" i="3"/>
  <c r="AK135" i="3"/>
  <c r="AK134" i="3"/>
  <c r="AK133" i="3"/>
  <c r="AK131" i="3"/>
  <c r="AK130" i="3"/>
  <c r="AK129" i="3"/>
  <c r="AK128" i="3"/>
  <c r="AK127" i="3"/>
  <c r="AK126" i="3"/>
  <c r="AK125" i="3"/>
  <c r="AK124" i="3"/>
  <c r="AK123" i="3"/>
  <c r="AK121" i="3"/>
  <c r="AK120" i="3"/>
  <c r="AK119" i="3"/>
  <c r="AK118" i="3"/>
  <c r="AK117" i="3"/>
  <c r="AK116" i="3"/>
  <c r="AK115" i="3"/>
  <c r="AK114" i="3"/>
  <c r="AK113" i="3"/>
  <c r="AK112" i="3"/>
  <c r="AK111" i="3"/>
  <c r="AK110" i="3"/>
  <c r="AK109" i="3"/>
  <c r="AK108" i="3"/>
  <c r="AK107" i="3"/>
  <c r="AK106" i="3"/>
  <c r="AK105" i="3"/>
  <c r="AK104" i="3"/>
  <c r="AK103" i="3"/>
  <c r="AK102" i="3"/>
  <c r="AK101" i="3"/>
  <c r="AK99" i="3"/>
  <c r="AK98" i="3"/>
  <c r="AK96" i="3"/>
  <c r="AK95" i="3"/>
  <c r="AK94" i="3"/>
  <c r="AK93" i="3"/>
  <c r="AK92" i="3"/>
  <c r="AK91" i="3"/>
  <c r="AK90" i="3"/>
  <c r="AK89" i="3"/>
  <c r="AK88" i="3"/>
  <c r="AK87" i="3"/>
  <c r="AK86" i="3"/>
  <c r="AK85" i="3"/>
  <c r="AK84" i="3"/>
  <c r="AK83" i="3"/>
  <c r="AK82" i="3"/>
  <c r="AK81" i="3"/>
  <c r="AK80" i="3"/>
  <c r="AK79" i="3"/>
  <c r="AK78" i="3"/>
  <c r="AK77" i="3"/>
  <c r="AK76" i="3"/>
  <c r="AK75" i="3"/>
  <c r="AK74" i="3"/>
  <c r="AK73" i="3"/>
  <c r="AK72" i="3"/>
  <c r="AK71" i="3"/>
  <c r="AK70" i="3"/>
  <c r="AK69" i="3"/>
  <c r="AK68" i="3"/>
  <c r="AK67" i="3"/>
  <c r="AK66" i="3"/>
  <c r="AK65" i="3"/>
  <c r="AK64" i="3"/>
  <c r="AK63" i="3"/>
  <c r="AK62" i="3"/>
  <c r="AK60" i="3"/>
  <c r="AK59" i="3"/>
  <c r="AK58" i="3"/>
  <c r="AK57" i="3"/>
  <c r="AK54" i="3"/>
  <c r="AK53" i="3"/>
  <c r="AK52" i="3"/>
  <c r="AK51" i="3"/>
  <c r="AK50" i="3"/>
  <c r="AK49" i="3"/>
  <c r="AK48" i="3"/>
  <c r="AK47" i="3"/>
  <c r="AK46" i="3"/>
  <c r="AK45" i="3"/>
  <c r="AK42" i="3"/>
  <c r="AK41" i="3"/>
  <c r="AK40" i="3"/>
  <c r="AK39" i="3"/>
  <c r="AK38" i="3"/>
  <c r="AK37" i="3"/>
  <c r="AK36" i="3"/>
  <c r="AK35" i="3"/>
  <c r="AK34" i="3"/>
  <c r="AK33" i="3"/>
  <c r="AK32" i="3"/>
  <c r="AK31" i="3"/>
  <c r="AK30" i="3"/>
  <c r="AK28" i="3"/>
  <c r="AK27" i="3"/>
  <c r="AK26" i="3"/>
  <c r="AK25" i="3"/>
  <c r="AK24" i="3"/>
  <c r="AK23" i="3"/>
  <c r="AK22" i="3"/>
  <c r="AK21" i="3"/>
  <c r="AK20" i="3"/>
  <c r="AK19" i="3"/>
  <c r="AK18" i="3"/>
  <c r="AK17" i="3"/>
  <c r="AK16" i="3"/>
  <c r="AK15" i="3"/>
  <c r="AK14" i="3"/>
  <c r="AK13" i="3"/>
  <c r="AK12" i="3"/>
  <c r="AK11" i="3"/>
  <c r="AK10" i="3"/>
  <c r="AK9" i="3"/>
  <c r="AK8" i="3"/>
  <c r="AK7" i="3"/>
  <c r="AK6" i="3"/>
  <c r="AK5" i="3"/>
  <c r="AK4" i="3"/>
  <c r="AK3" i="3"/>
  <c r="AK2" i="3"/>
  <c r="AJ753" i="3"/>
  <c r="AJ751" i="3"/>
  <c r="AJ749" i="3"/>
  <c r="AJ748" i="3"/>
  <c r="AJ737" i="3"/>
  <c r="AJ736" i="3"/>
  <c r="AJ735" i="3"/>
  <c r="AJ734" i="3"/>
  <c r="AJ733" i="3"/>
  <c r="AJ732" i="3"/>
  <c r="AJ728" i="3"/>
  <c r="AJ724" i="3"/>
  <c r="AJ722" i="3"/>
  <c r="AJ717" i="3"/>
  <c r="AJ715" i="3"/>
  <c r="AJ714" i="3"/>
  <c r="AJ705" i="3"/>
  <c r="AJ702" i="3"/>
  <c r="AJ700" i="3"/>
  <c r="AJ698" i="3"/>
  <c r="AJ696" i="3"/>
  <c r="AJ695" i="3"/>
  <c r="AJ692" i="3"/>
  <c r="AJ691" i="3"/>
  <c r="AJ681" i="3"/>
  <c r="AJ680" i="3"/>
  <c r="AJ676" i="3"/>
  <c r="AJ673" i="3"/>
  <c r="AJ672" i="3"/>
  <c r="AJ666" i="3"/>
  <c r="AJ665" i="3"/>
  <c r="AJ664" i="3"/>
  <c r="AJ662" i="3"/>
  <c r="AJ656" i="3"/>
  <c r="AJ654" i="3"/>
  <c r="AJ653" i="3"/>
  <c r="AJ651" i="3"/>
  <c r="AJ650" i="3"/>
  <c r="AJ649" i="3"/>
  <c r="AJ647" i="3"/>
  <c r="AJ644" i="3"/>
  <c r="AJ635" i="3"/>
  <c r="AJ634" i="3"/>
  <c r="AJ633" i="3"/>
  <c r="AJ632" i="3"/>
  <c r="AJ629" i="3"/>
  <c r="AJ626" i="3"/>
  <c r="AJ625" i="3"/>
  <c r="AJ623" i="3"/>
  <c r="AJ619" i="3"/>
  <c r="AJ618" i="3"/>
  <c r="AJ616" i="3"/>
  <c r="AJ615" i="3"/>
  <c r="AJ613" i="3"/>
  <c r="AJ612" i="3"/>
  <c r="AJ608" i="3"/>
  <c r="AJ607" i="3"/>
  <c r="AJ605" i="3"/>
  <c r="AJ604" i="3"/>
  <c r="AJ603" i="3"/>
  <c r="AJ601" i="3"/>
  <c r="AJ597" i="3"/>
  <c r="AJ596" i="3"/>
  <c r="AJ595" i="3"/>
  <c r="AJ593" i="3"/>
  <c r="AJ589" i="3"/>
  <c r="AJ587" i="3"/>
  <c r="AJ584" i="3"/>
  <c r="AJ583" i="3"/>
  <c r="AJ581" i="3"/>
  <c r="AJ579" i="3"/>
  <c r="AJ578" i="3"/>
  <c r="AJ577" i="3"/>
  <c r="AJ574" i="3"/>
  <c r="AJ572" i="3"/>
  <c r="AJ571" i="3"/>
  <c r="AJ570" i="3"/>
  <c r="AJ569" i="3"/>
  <c r="AJ568" i="3"/>
  <c r="AJ564" i="3"/>
  <c r="AJ560" i="3"/>
  <c r="AJ555" i="3"/>
  <c r="AJ552" i="3"/>
  <c r="AJ551" i="3"/>
  <c r="AJ550" i="3"/>
  <c r="AJ544" i="3"/>
  <c r="AJ542" i="3"/>
  <c r="AJ540" i="3"/>
  <c r="AJ538" i="3"/>
  <c r="AJ535" i="3"/>
  <c r="AJ534" i="3"/>
  <c r="AJ533" i="3"/>
  <c r="AJ531" i="3"/>
  <c r="AJ520" i="3"/>
  <c r="AJ518" i="3"/>
  <c r="AJ516" i="3"/>
  <c r="AJ514" i="3"/>
  <c r="AJ513" i="3"/>
  <c r="AJ510" i="3"/>
  <c r="AJ509" i="3"/>
  <c r="AJ505" i="3"/>
  <c r="AJ502" i="3"/>
  <c r="AJ501" i="3"/>
  <c r="AJ500" i="3"/>
  <c r="AJ499" i="3"/>
  <c r="AJ498" i="3"/>
  <c r="AJ497" i="3"/>
  <c r="AJ492" i="3"/>
  <c r="AJ488" i="3"/>
  <c r="AJ487" i="3"/>
  <c r="AJ486" i="3"/>
  <c r="AJ485" i="3"/>
  <c r="AJ484" i="3"/>
  <c r="AJ483" i="3"/>
  <c r="AJ482" i="3"/>
  <c r="AJ481" i="3"/>
  <c r="AJ478" i="3"/>
  <c r="AJ476" i="3"/>
  <c r="AJ475" i="3"/>
  <c r="AJ474" i="3"/>
  <c r="AJ470" i="3"/>
  <c r="AJ464" i="3"/>
  <c r="AJ458" i="3"/>
  <c r="AJ457" i="3"/>
  <c r="AJ449" i="3"/>
  <c r="AJ446" i="3"/>
  <c r="AJ445" i="3"/>
  <c r="AJ443" i="3"/>
  <c r="AJ441" i="3"/>
  <c r="AJ439" i="3"/>
  <c r="AJ437" i="3"/>
  <c r="AJ436" i="3"/>
  <c r="AJ435" i="3"/>
  <c r="AJ434" i="3"/>
  <c r="AJ433" i="3"/>
  <c r="AJ432" i="3"/>
  <c r="AJ431" i="3"/>
  <c r="AJ429" i="3"/>
  <c r="AJ428" i="3"/>
  <c r="AJ427" i="3"/>
  <c r="AJ424" i="3"/>
  <c r="AJ422" i="3"/>
  <c r="AJ420" i="3"/>
  <c r="AJ416" i="3"/>
  <c r="AJ415" i="3"/>
  <c r="AJ414" i="3"/>
  <c r="AJ413" i="3"/>
  <c r="AJ411" i="3"/>
  <c r="AJ410" i="3"/>
  <c r="AJ409" i="3"/>
  <c r="AJ408" i="3"/>
  <c r="AJ407" i="3"/>
  <c r="AJ406" i="3"/>
  <c r="AJ405" i="3"/>
  <c r="AJ404" i="3"/>
  <c r="AJ403" i="3"/>
  <c r="AJ402" i="3"/>
  <c r="AJ401" i="3"/>
  <c r="AJ400" i="3"/>
  <c r="AJ399" i="3"/>
  <c r="AJ398" i="3"/>
  <c r="AJ396" i="3"/>
  <c r="AJ395" i="3"/>
  <c r="AJ393" i="3"/>
  <c r="AJ392" i="3"/>
  <c r="AJ391" i="3"/>
  <c r="AJ390" i="3"/>
  <c r="AJ389" i="3"/>
  <c r="AJ388" i="3"/>
  <c r="AJ387" i="3"/>
  <c r="AJ385" i="3"/>
  <c r="AJ384" i="3"/>
  <c r="AJ380" i="3"/>
  <c r="AJ379" i="3"/>
  <c r="AJ378" i="3"/>
  <c r="AJ377" i="3"/>
  <c r="AJ375" i="3"/>
  <c r="AJ374" i="3"/>
  <c r="AJ372" i="3"/>
  <c r="AJ371" i="3"/>
  <c r="AJ370" i="3"/>
  <c r="AJ369" i="3"/>
  <c r="AJ368" i="3"/>
  <c r="AJ367" i="3"/>
  <c r="AJ366" i="3"/>
  <c r="AJ365" i="3"/>
  <c r="AJ364" i="3"/>
  <c r="AJ363" i="3"/>
  <c r="AJ362" i="3"/>
  <c r="AJ361" i="3"/>
  <c r="AJ360" i="3"/>
  <c r="AJ359" i="3"/>
  <c r="AJ358" i="3"/>
  <c r="AJ357" i="3"/>
  <c r="AJ356" i="3"/>
  <c r="AJ354" i="3"/>
  <c r="AJ353" i="3"/>
  <c r="AJ351" i="3"/>
  <c r="AJ349" i="3"/>
  <c r="AJ346" i="3"/>
  <c r="AJ345" i="3"/>
  <c r="AJ344" i="3"/>
  <c r="AJ343" i="3"/>
  <c r="AJ342" i="3"/>
  <c r="AJ341" i="3"/>
  <c r="AJ340" i="3"/>
  <c r="AJ339" i="3"/>
  <c r="AJ338" i="3"/>
  <c r="AJ336" i="3"/>
  <c r="AJ335" i="3"/>
  <c r="AJ334" i="3"/>
  <c r="AJ333" i="3"/>
  <c r="AJ332" i="3"/>
  <c r="AJ331" i="3"/>
  <c r="AJ330" i="3"/>
  <c r="AJ329" i="3"/>
  <c r="AJ328" i="3"/>
  <c r="AJ327" i="3"/>
  <c r="AJ326" i="3"/>
  <c r="AJ325" i="3"/>
  <c r="AJ324" i="3"/>
  <c r="AJ323" i="3"/>
  <c r="AJ322" i="3"/>
  <c r="AJ321" i="3"/>
  <c r="AJ320" i="3"/>
  <c r="AJ318" i="3"/>
  <c r="AJ317" i="3"/>
  <c r="AJ316" i="3"/>
  <c r="AJ313" i="3"/>
  <c r="AJ312" i="3"/>
  <c r="AJ311" i="3"/>
  <c r="AJ310" i="3"/>
  <c r="AJ309" i="3"/>
  <c r="AJ307" i="3"/>
  <c r="AJ306" i="3"/>
  <c r="AJ305" i="3"/>
  <c r="AJ304" i="3"/>
  <c r="AJ303" i="3"/>
  <c r="AJ302" i="3"/>
  <c r="AJ301" i="3"/>
  <c r="AJ300" i="3"/>
  <c r="AJ299" i="3"/>
  <c r="AJ298" i="3"/>
  <c r="AJ297" i="3"/>
  <c r="AJ296" i="3"/>
  <c r="AJ295" i="3"/>
  <c r="AJ293" i="3"/>
  <c r="AJ292" i="3"/>
  <c r="AJ291" i="3"/>
  <c r="AJ289" i="3"/>
  <c r="AJ287" i="3"/>
  <c r="AJ286" i="3"/>
  <c r="AJ284" i="3"/>
  <c r="AJ283" i="3"/>
  <c r="AJ282" i="3"/>
  <c r="AJ281" i="3"/>
  <c r="AJ280" i="3"/>
  <c r="AJ279" i="3"/>
  <c r="AJ278" i="3"/>
  <c r="AJ277" i="3"/>
  <c r="AJ276" i="3"/>
  <c r="AJ273" i="3"/>
  <c r="AJ272" i="3"/>
  <c r="AJ271" i="3"/>
  <c r="AJ270" i="3"/>
  <c r="AJ269" i="3"/>
  <c r="AJ268" i="3"/>
  <c r="AJ267" i="3"/>
  <c r="AJ266" i="3"/>
  <c r="AJ265" i="3"/>
  <c r="AJ264" i="3"/>
  <c r="AJ263" i="3"/>
  <c r="AJ262" i="3"/>
  <c r="AJ261" i="3"/>
  <c r="AJ260" i="3"/>
  <c r="AJ259" i="3"/>
  <c r="AJ258" i="3"/>
  <c r="AJ256" i="3"/>
  <c r="AJ255" i="3"/>
  <c r="AJ254" i="3"/>
  <c r="AJ253" i="3"/>
  <c r="AJ252" i="3"/>
  <c r="AJ251" i="3"/>
  <c r="AJ250" i="3"/>
  <c r="AJ249" i="3"/>
  <c r="AJ248" i="3"/>
  <c r="AJ247" i="3"/>
  <c r="AJ246" i="3"/>
  <c r="AJ244" i="3"/>
  <c r="AJ243" i="3"/>
  <c r="AJ242" i="3"/>
  <c r="AJ241" i="3"/>
  <c r="AJ240" i="3"/>
  <c r="AJ239" i="3"/>
  <c r="AJ237" i="3"/>
  <c r="AJ235" i="3"/>
  <c r="AJ234" i="3"/>
  <c r="AJ233" i="3"/>
  <c r="AJ231" i="3"/>
  <c r="AJ230" i="3"/>
  <c r="AJ229" i="3"/>
  <c r="AJ227" i="3"/>
  <c r="AJ226" i="3"/>
  <c r="AJ225" i="3"/>
  <c r="AJ224" i="3"/>
  <c r="AJ223" i="3"/>
  <c r="AJ222" i="3"/>
  <c r="AJ221" i="3"/>
  <c r="AJ220" i="3"/>
  <c r="AJ218" i="3"/>
  <c r="AJ217" i="3"/>
  <c r="AJ215" i="3"/>
  <c r="AJ214" i="3"/>
  <c r="AJ213" i="3"/>
  <c r="AJ212" i="3"/>
  <c r="AJ211" i="3"/>
  <c r="AJ210" i="3"/>
  <c r="AJ209" i="3"/>
  <c r="AJ208" i="3"/>
  <c r="AJ207" i="3"/>
  <c r="AJ206" i="3"/>
  <c r="AJ205" i="3"/>
  <c r="AJ204" i="3"/>
  <c r="AJ203" i="3"/>
  <c r="AJ202" i="3"/>
  <c r="AJ201" i="3"/>
  <c r="AJ199" i="3"/>
  <c r="AJ198" i="3"/>
  <c r="AJ197" i="3"/>
  <c r="AJ196" i="3"/>
  <c r="AJ195" i="3"/>
  <c r="AJ194" i="3"/>
  <c r="AJ193" i="3"/>
  <c r="AJ192" i="3"/>
  <c r="AJ191" i="3"/>
  <c r="AJ190" i="3"/>
  <c r="AJ189" i="3"/>
  <c r="AJ188" i="3"/>
  <c r="AJ187" i="3"/>
  <c r="AJ184" i="3"/>
  <c r="AJ183" i="3"/>
  <c r="AJ182" i="3"/>
  <c r="AJ181" i="3"/>
  <c r="AJ180" i="3"/>
  <c r="AJ179" i="3"/>
  <c r="AJ178" i="3"/>
  <c r="AJ175" i="3"/>
  <c r="AJ174" i="3"/>
  <c r="AJ173" i="3"/>
  <c r="AJ172" i="3"/>
  <c r="AJ171" i="3"/>
  <c r="AJ170" i="3"/>
  <c r="AJ169" i="3"/>
  <c r="AJ168" i="3"/>
  <c r="AJ167" i="3"/>
  <c r="AJ166" i="3"/>
  <c r="AJ165" i="3"/>
  <c r="AJ164" i="3"/>
  <c r="AJ163" i="3"/>
  <c r="AJ162" i="3"/>
  <c r="AJ161" i="3"/>
  <c r="AJ159" i="3"/>
  <c r="AJ158" i="3"/>
  <c r="AJ157" i="3"/>
  <c r="AJ156" i="3"/>
  <c r="AJ155" i="3"/>
  <c r="AJ154" i="3"/>
  <c r="AJ153" i="3"/>
  <c r="AJ152" i="3"/>
  <c r="AJ151" i="3"/>
  <c r="AJ150" i="3"/>
  <c r="AJ149" i="3"/>
  <c r="AJ148" i="3"/>
  <c r="AJ147" i="3"/>
  <c r="AJ146" i="3"/>
  <c r="AJ145" i="3"/>
  <c r="AJ144" i="3"/>
  <c r="AJ143" i="3"/>
  <c r="AJ142" i="3"/>
  <c r="AJ141" i="3"/>
  <c r="AJ140" i="3"/>
  <c r="AJ139" i="3"/>
  <c r="AJ138" i="3"/>
  <c r="AJ137" i="3"/>
  <c r="AJ136" i="3"/>
  <c r="AJ135" i="3"/>
  <c r="AJ134" i="3"/>
  <c r="AJ133" i="3"/>
  <c r="AJ131" i="3"/>
  <c r="AJ130" i="3"/>
  <c r="AJ129" i="3"/>
  <c r="AJ128" i="3"/>
  <c r="AJ127" i="3"/>
  <c r="AJ126" i="3"/>
  <c r="AJ125" i="3"/>
  <c r="AJ124" i="3"/>
  <c r="AJ123" i="3"/>
  <c r="AJ121" i="3"/>
  <c r="AJ120" i="3"/>
  <c r="AJ119" i="3"/>
  <c r="AJ118" i="3"/>
  <c r="AJ117" i="3"/>
  <c r="AJ116" i="3"/>
  <c r="AJ115" i="3"/>
  <c r="AJ114" i="3"/>
  <c r="AJ113" i="3"/>
  <c r="AJ112" i="3"/>
  <c r="AJ111" i="3"/>
  <c r="AJ110" i="3"/>
  <c r="AJ109" i="3"/>
  <c r="AJ108" i="3"/>
  <c r="AJ107" i="3"/>
  <c r="AJ106" i="3"/>
  <c r="AJ105" i="3"/>
  <c r="AJ104" i="3"/>
  <c r="AJ103" i="3"/>
  <c r="AJ102" i="3"/>
  <c r="AJ101" i="3"/>
  <c r="AJ99" i="3"/>
  <c r="AJ98" i="3"/>
  <c r="AJ96" i="3"/>
  <c r="AJ95" i="3"/>
  <c r="AJ94" i="3"/>
  <c r="AJ93" i="3"/>
  <c r="AJ92" i="3"/>
  <c r="AJ91" i="3"/>
  <c r="AJ90" i="3"/>
  <c r="AJ89" i="3"/>
  <c r="AJ88" i="3"/>
  <c r="AJ87" i="3"/>
  <c r="AJ86" i="3"/>
  <c r="AJ85" i="3"/>
  <c r="AJ84" i="3"/>
  <c r="AJ83" i="3"/>
  <c r="AJ82" i="3"/>
  <c r="AJ81" i="3"/>
  <c r="AJ80" i="3"/>
  <c r="AJ79" i="3"/>
  <c r="AJ78" i="3"/>
  <c r="AJ77" i="3"/>
  <c r="AJ76" i="3"/>
  <c r="AJ75" i="3"/>
  <c r="AJ74" i="3"/>
  <c r="AJ73" i="3"/>
  <c r="AJ72" i="3"/>
  <c r="AJ71" i="3"/>
  <c r="AJ70" i="3"/>
  <c r="AJ69" i="3"/>
  <c r="AJ68" i="3"/>
  <c r="AJ67" i="3"/>
  <c r="AJ66" i="3"/>
  <c r="AJ65" i="3"/>
  <c r="AJ64" i="3"/>
  <c r="AJ63" i="3"/>
  <c r="AJ62" i="3"/>
  <c r="AJ60" i="3"/>
  <c r="AJ59" i="3"/>
  <c r="AJ58" i="3"/>
  <c r="AJ57" i="3"/>
  <c r="AJ54" i="3"/>
  <c r="AJ53" i="3"/>
  <c r="AJ52" i="3"/>
  <c r="AJ51" i="3"/>
  <c r="AJ50" i="3"/>
  <c r="AJ49" i="3"/>
  <c r="AJ48" i="3"/>
  <c r="AJ47" i="3"/>
  <c r="AJ46" i="3"/>
  <c r="AJ45" i="3"/>
  <c r="AJ42" i="3"/>
  <c r="AJ41" i="3"/>
  <c r="AJ40" i="3"/>
  <c r="AJ39" i="3"/>
  <c r="AJ38" i="3"/>
  <c r="AJ37" i="3"/>
  <c r="AJ36" i="3"/>
  <c r="AJ35" i="3"/>
  <c r="AJ34" i="3"/>
  <c r="AJ33" i="3"/>
  <c r="AJ32" i="3"/>
  <c r="AJ31" i="3"/>
  <c r="AJ30" i="3"/>
  <c r="AJ28" i="3"/>
  <c r="AJ27" i="3"/>
  <c r="AJ26" i="3"/>
  <c r="AJ25" i="3"/>
  <c r="AJ24" i="3"/>
  <c r="AJ23" i="3"/>
  <c r="AJ22" i="3"/>
  <c r="AJ21" i="3"/>
  <c r="AJ20" i="3"/>
  <c r="AJ19" i="3"/>
  <c r="AJ18" i="3"/>
  <c r="AJ17" i="3"/>
  <c r="AJ16" i="3"/>
  <c r="AJ15" i="3"/>
  <c r="AJ14" i="3"/>
  <c r="AJ13" i="3"/>
  <c r="AJ12" i="3"/>
  <c r="AJ11" i="3"/>
  <c r="AJ10" i="3"/>
  <c r="AJ9" i="3"/>
  <c r="AJ8" i="3"/>
  <c r="AJ7" i="3"/>
  <c r="AJ6" i="3"/>
  <c r="AJ5" i="3"/>
  <c r="AJ4" i="3"/>
  <c r="AJ3" i="3"/>
  <c r="AJ2" i="3"/>
  <c r="AI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5" i="3"/>
  <c r="AI46" i="3"/>
  <c r="AI47" i="3"/>
  <c r="AI48" i="3"/>
  <c r="AI49" i="3"/>
  <c r="AI50" i="3"/>
  <c r="AI51" i="3"/>
  <c r="AI52" i="3"/>
  <c r="AI53" i="3"/>
  <c r="AI54" i="3"/>
  <c r="AI57" i="3"/>
  <c r="AI58" i="3"/>
  <c r="AI59" i="3"/>
  <c r="AI60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8" i="3"/>
  <c r="AI99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3" i="3"/>
  <c r="AI124" i="3"/>
  <c r="AI125" i="3"/>
  <c r="AI126" i="3"/>
  <c r="AI127" i="3"/>
  <c r="AI128" i="3"/>
  <c r="AI129" i="3"/>
  <c r="AI130" i="3"/>
  <c r="AI131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8" i="3"/>
  <c r="AI179" i="3"/>
  <c r="AI180" i="3"/>
  <c r="AI181" i="3"/>
  <c r="AI182" i="3"/>
  <c r="AI183" i="3"/>
  <c r="AI184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7" i="3"/>
  <c r="AI218" i="3"/>
  <c r="AI220" i="3"/>
  <c r="AI221" i="3"/>
  <c r="AI222" i="3"/>
  <c r="AI223" i="3"/>
  <c r="AI224" i="3"/>
  <c r="AI225" i="3"/>
  <c r="AI226" i="3"/>
  <c r="AI227" i="3"/>
  <c r="AI229" i="3"/>
  <c r="AI230" i="3"/>
  <c r="AI231" i="3"/>
  <c r="AI233" i="3"/>
  <c r="AI234" i="3"/>
  <c r="AI235" i="3"/>
  <c r="AI237" i="3"/>
  <c r="AI239" i="3"/>
  <c r="AI240" i="3"/>
  <c r="AI241" i="3"/>
  <c r="AI242" i="3"/>
  <c r="AI243" i="3"/>
  <c r="AI244" i="3"/>
  <c r="AI246" i="3"/>
  <c r="AI247" i="3"/>
  <c r="AI248" i="3"/>
  <c r="AI249" i="3"/>
  <c r="AI250" i="3"/>
  <c r="AI251" i="3"/>
  <c r="AI252" i="3"/>
  <c r="AI253" i="3"/>
  <c r="AI254" i="3"/>
  <c r="AI255" i="3"/>
  <c r="AI256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6" i="3"/>
  <c r="AI277" i="3"/>
  <c r="AI278" i="3"/>
  <c r="AI279" i="3"/>
  <c r="AI280" i="3"/>
  <c r="AI281" i="3"/>
  <c r="AI282" i="3"/>
  <c r="AI283" i="3"/>
  <c r="AI284" i="3"/>
  <c r="AI286" i="3"/>
  <c r="AI287" i="3"/>
  <c r="AI289" i="3"/>
  <c r="AI291" i="3"/>
  <c r="AI292" i="3"/>
  <c r="AI293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9" i="3"/>
  <c r="AI310" i="3"/>
  <c r="AI311" i="3"/>
  <c r="AI312" i="3"/>
  <c r="AI313" i="3"/>
  <c r="AI316" i="3"/>
  <c r="AI317" i="3"/>
  <c r="AI318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8" i="3"/>
  <c r="AI339" i="3"/>
  <c r="AI340" i="3"/>
  <c r="AI341" i="3"/>
  <c r="AI342" i="3"/>
  <c r="AI343" i="3"/>
  <c r="AI344" i="3"/>
  <c r="AI345" i="3"/>
  <c r="AI346" i="3"/>
  <c r="AI349" i="3"/>
  <c r="AI351" i="3"/>
  <c r="AI353" i="3"/>
  <c r="AI354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4" i="3"/>
  <c r="AI375" i="3"/>
  <c r="AI377" i="3"/>
  <c r="AI378" i="3"/>
  <c r="AI379" i="3"/>
  <c r="AI380" i="3"/>
  <c r="AI384" i="3"/>
  <c r="AI385" i="3"/>
  <c r="AI387" i="3"/>
  <c r="AI388" i="3"/>
  <c r="AI389" i="3"/>
  <c r="AI390" i="3"/>
  <c r="AI391" i="3"/>
  <c r="AI392" i="3"/>
  <c r="AI393" i="3"/>
  <c r="AI395" i="3"/>
  <c r="AI396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3" i="3"/>
  <c r="AI414" i="3"/>
  <c r="AI415" i="3"/>
  <c r="AI416" i="3"/>
  <c r="AI420" i="3"/>
  <c r="AI422" i="3"/>
  <c r="AI424" i="3"/>
  <c r="AI427" i="3"/>
  <c r="AI428" i="3"/>
  <c r="AI429" i="3"/>
  <c r="AI431" i="3"/>
  <c r="AI432" i="3"/>
  <c r="AI433" i="3"/>
  <c r="AI434" i="3"/>
  <c r="AI435" i="3"/>
  <c r="AI436" i="3"/>
  <c r="AI437" i="3"/>
  <c r="AI439" i="3"/>
  <c r="AI441" i="3"/>
  <c r="AI443" i="3"/>
  <c r="AI445" i="3"/>
  <c r="AI446" i="3"/>
  <c r="AI449" i="3"/>
  <c r="AI457" i="3"/>
  <c r="AI458" i="3"/>
  <c r="AI464" i="3"/>
  <c r="AI470" i="3"/>
  <c r="AI474" i="3"/>
  <c r="AI475" i="3"/>
  <c r="AI476" i="3"/>
  <c r="AI478" i="3"/>
  <c r="AI481" i="3"/>
  <c r="AI482" i="3"/>
  <c r="AI483" i="3"/>
  <c r="AI484" i="3"/>
  <c r="AI485" i="3"/>
  <c r="AI486" i="3"/>
  <c r="AI487" i="3"/>
  <c r="AI488" i="3"/>
  <c r="AI492" i="3"/>
  <c r="AI497" i="3"/>
  <c r="AI498" i="3"/>
  <c r="AI499" i="3"/>
  <c r="AI500" i="3"/>
  <c r="AI501" i="3"/>
  <c r="AI502" i="3"/>
  <c r="AI505" i="3"/>
  <c r="AI509" i="3"/>
  <c r="AI510" i="3"/>
  <c r="AI513" i="3"/>
  <c r="AI514" i="3"/>
  <c r="AI516" i="3"/>
  <c r="AI518" i="3"/>
  <c r="AI520" i="3"/>
  <c r="AI531" i="3"/>
  <c r="AI533" i="3"/>
  <c r="AI534" i="3"/>
  <c r="AI535" i="3"/>
  <c r="AI538" i="3"/>
  <c r="AI540" i="3"/>
  <c r="AI542" i="3"/>
  <c r="AI544" i="3"/>
  <c r="AI550" i="3"/>
  <c r="AI551" i="3"/>
  <c r="AI552" i="3"/>
  <c r="AI555" i="3"/>
  <c r="AI560" i="3"/>
  <c r="AI564" i="3"/>
  <c r="AI568" i="3"/>
  <c r="AI569" i="3"/>
  <c r="AI570" i="3"/>
  <c r="AI571" i="3"/>
  <c r="AI572" i="3"/>
  <c r="AI574" i="3"/>
  <c r="AI577" i="3"/>
  <c r="AI578" i="3"/>
  <c r="AI579" i="3"/>
  <c r="AI581" i="3"/>
  <c r="AI583" i="3"/>
  <c r="AI584" i="3"/>
  <c r="AI587" i="3"/>
  <c r="AI589" i="3"/>
  <c r="AI593" i="3"/>
  <c r="AI595" i="3"/>
  <c r="AI596" i="3"/>
  <c r="AI597" i="3"/>
  <c r="AI601" i="3"/>
  <c r="AI603" i="3"/>
  <c r="AI604" i="3"/>
  <c r="AI605" i="3"/>
  <c r="AI607" i="3"/>
  <c r="AI608" i="3"/>
  <c r="AI612" i="3"/>
  <c r="AI613" i="3"/>
  <c r="AI615" i="3"/>
  <c r="AI616" i="3"/>
  <c r="AI618" i="3"/>
  <c r="AI619" i="3"/>
  <c r="AI623" i="3"/>
  <c r="AI625" i="3"/>
  <c r="AI626" i="3"/>
  <c r="AI629" i="3"/>
  <c r="AI632" i="3"/>
  <c r="AI633" i="3"/>
  <c r="AI634" i="3"/>
  <c r="AI635" i="3"/>
  <c r="AI644" i="3"/>
  <c r="AI647" i="3"/>
  <c r="AI649" i="3"/>
  <c r="AI650" i="3"/>
  <c r="AI651" i="3"/>
  <c r="AI653" i="3"/>
  <c r="AI654" i="3"/>
  <c r="AI656" i="3"/>
  <c r="AI662" i="3"/>
  <c r="AI664" i="3"/>
  <c r="AI665" i="3"/>
  <c r="AI666" i="3"/>
  <c r="AI672" i="3"/>
  <c r="AI673" i="3"/>
  <c r="AI676" i="3"/>
  <c r="AI680" i="3"/>
  <c r="AI681" i="3"/>
  <c r="AI691" i="3"/>
  <c r="AI692" i="3"/>
  <c r="AI695" i="3"/>
  <c r="AI696" i="3"/>
  <c r="AI698" i="3"/>
  <c r="AI700" i="3"/>
  <c r="AI702" i="3"/>
  <c r="AI705" i="3"/>
  <c r="AI714" i="3"/>
  <c r="AI715" i="3"/>
  <c r="AI717" i="3"/>
  <c r="AI722" i="3"/>
  <c r="AI724" i="3"/>
  <c r="AI728" i="3"/>
  <c r="AI732" i="3"/>
  <c r="AI733" i="3"/>
  <c r="AI734" i="3"/>
  <c r="AI735" i="3"/>
  <c r="AI736" i="3"/>
  <c r="AI737" i="3"/>
  <c r="AI748" i="3"/>
  <c r="AI749" i="3"/>
  <c r="AI751" i="3"/>
  <c r="AI753" i="3"/>
  <c r="AH753" i="3"/>
  <c r="AH751" i="3"/>
  <c r="AH749" i="3"/>
  <c r="AH748" i="3"/>
  <c r="AH737" i="3"/>
  <c r="AH736" i="3"/>
  <c r="AH735" i="3"/>
  <c r="AH734" i="3"/>
  <c r="AH733" i="3"/>
  <c r="AH732" i="3"/>
  <c r="AH728" i="3"/>
  <c r="AH724" i="3"/>
  <c r="AH722" i="3"/>
  <c r="AH717" i="3"/>
  <c r="AH715" i="3"/>
  <c r="AH714" i="3"/>
  <c r="AH705" i="3"/>
  <c r="AH702" i="3"/>
  <c r="AH700" i="3"/>
  <c r="AH698" i="3"/>
  <c r="AH696" i="3"/>
  <c r="AH695" i="3"/>
  <c r="AH692" i="3"/>
  <c r="AH691" i="3"/>
  <c r="AH681" i="3"/>
  <c r="AH680" i="3"/>
  <c r="AH676" i="3"/>
  <c r="AH673" i="3"/>
  <c r="AH672" i="3"/>
  <c r="AH666" i="3"/>
  <c r="AH665" i="3"/>
  <c r="AH664" i="3"/>
  <c r="AH662" i="3"/>
  <c r="AH656" i="3"/>
  <c r="AH654" i="3"/>
  <c r="AH653" i="3"/>
  <c r="AH651" i="3"/>
  <c r="AH650" i="3"/>
  <c r="AH649" i="3"/>
  <c r="AH647" i="3"/>
  <c r="AH644" i="3"/>
  <c r="AH635" i="3"/>
  <c r="AH634" i="3"/>
  <c r="AH633" i="3"/>
  <c r="AH632" i="3"/>
  <c r="AH629" i="3"/>
  <c r="AH626" i="3"/>
  <c r="AH625" i="3"/>
  <c r="AH623" i="3"/>
  <c r="AH619" i="3"/>
  <c r="AH618" i="3"/>
  <c r="AH616" i="3"/>
  <c r="AH615" i="3"/>
  <c r="AH613" i="3"/>
  <c r="AH612" i="3"/>
  <c r="AH608" i="3"/>
  <c r="AH607" i="3"/>
  <c r="AH605" i="3"/>
  <c r="AH604" i="3"/>
  <c r="AH603" i="3"/>
  <c r="AH601" i="3"/>
  <c r="AH597" i="3"/>
  <c r="AH596" i="3"/>
  <c r="AH595" i="3"/>
  <c r="AH593" i="3"/>
  <c r="AH589" i="3"/>
  <c r="AH587" i="3"/>
  <c r="AH584" i="3"/>
  <c r="AH583" i="3"/>
  <c r="AH581" i="3"/>
  <c r="AH579" i="3"/>
  <c r="AH578" i="3"/>
  <c r="AH577" i="3"/>
  <c r="AH574" i="3"/>
  <c r="AH572" i="3"/>
  <c r="AH571" i="3"/>
  <c r="AH570" i="3"/>
  <c r="AH569" i="3"/>
  <c r="AH568" i="3"/>
  <c r="AH564" i="3"/>
  <c r="AH560" i="3"/>
  <c r="AH555" i="3"/>
  <c r="AH552" i="3"/>
  <c r="AH551" i="3"/>
  <c r="AH550" i="3"/>
  <c r="AH544" i="3"/>
  <c r="AH542" i="3"/>
  <c r="AH540" i="3"/>
  <c r="AH538" i="3"/>
  <c r="AH535" i="3"/>
  <c r="AH534" i="3"/>
  <c r="AH533" i="3"/>
  <c r="AH531" i="3"/>
  <c r="AH520" i="3"/>
  <c r="AH518" i="3"/>
  <c r="AH516" i="3"/>
  <c r="AH514" i="3"/>
  <c r="AH513" i="3"/>
  <c r="AH510" i="3"/>
  <c r="AH509" i="3"/>
  <c r="AH505" i="3"/>
  <c r="AH502" i="3"/>
  <c r="AH501" i="3"/>
  <c r="AH500" i="3"/>
  <c r="AH499" i="3"/>
  <c r="AH498" i="3"/>
  <c r="AH497" i="3"/>
  <c r="AH492" i="3"/>
  <c r="AH488" i="3"/>
  <c r="AH487" i="3"/>
  <c r="AH486" i="3"/>
  <c r="AH485" i="3"/>
  <c r="AH484" i="3"/>
  <c r="AH483" i="3"/>
  <c r="AH482" i="3"/>
  <c r="AH481" i="3"/>
  <c r="AH478" i="3"/>
  <c r="AH476" i="3"/>
  <c r="AH475" i="3"/>
  <c r="AH474" i="3"/>
  <c r="AH470" i="3"/>
  <c r="AH464" i="3"/>
  <c r="AH458" i="3"/>
  <c r="AH457" i="3"/>
  <c r="AH449" i="3"/>
  <c r="AH446" i="3"/>
  <c r="AH445" i="3"/>
  <c r="AH443" i="3"/>
  <c r="AH441" i="3"/>
  <c r="AH439" i="3"/>
  <c r="AH437" i="3"/>
  <c r="AH436" i="3"/>
  <c r="AH435" i="3"/>
  <c r="AH434" i="3"/>
  <c r="AH433" i="3"/>
  <c r="AH432" i="3"/>
  <c r="AH431" i="3"/>
  <c r="AH429" i="3"/>
  <c r="AH428" i="3"/>
  <c r="AH427" i="3"/>
  <c r="AH424" i="3"/>
  <c r="AH422" i="3"/>
  <c r="AH420" i="3"/>
  <c r="AH416" i="3"/>
  <c r="AH415" i="3"/>
  <c r="AH414" i="3"/>
  <c r="AH413" i="3"/>
  <c r="AH411" i="3"/>
  <c r="AH410" i="3"/>
  <c r="AH409" i="3"/>
  <c r="AH408" i="3"/>
  <c r="AH407" i="3"/>
  <c r="AH406" i="3"/>
  <c r="AH405" i="3"/>
  <c r="AH404" i="3"/>
  <c r="AH403" i="3"/>
  <c r="AH402" i="3"/>
  <c r="AH401" i="3"/>
  <c r="AH400" i="3"/>
  <c r="AH399" i="3"/>
  <c r="AH398" i="3"/>
  <c r="AH396" i="3"/>
  <c r="AH395" i="3"/>
  <c r="AH393" i="3"/>
  <c r="AH392" i="3"/>
  <c r="AH391" i="3"/>
  <c r="AH390" i="3"/>
  <c r="AH389" i="3"/>
  <c r="AH388" i="3"/>
  <c r="AH387" i="3"/>
  <c r="AH385" i="3"/>
  <c r="AH384" i="3"/>
  <c r="AH380" i="3"/>
  <c r="AH379" i="3"/>
  <c r="AH378" i="3"/>
  <c r="AH377" i="3"/>
  <c r="AH375" i="3"/>
  <c r="AH374" i="3"/>
  <c r="AH372" i="3"/>
  <c r="AH371" i="3"/>
  <c r="AH370" i="3"/>
  <c r="AH369" i="3"/>
  <c r="AH368" i="3"/>
  <c r="AH367" i="3"/>
  <c r="AH366" i="3"/>
  <c r="AH365" i="3"/>
  <c r="AH364" i="3"/>
  <c r="AH363" i="3"/>
  <c r="AH362" i="3"/>
  <c r="AH361" i="3"/>
  <c r="AH360" i="3"/>
  <c r="AH359" i="3"/>
  <c r="AH358" i="3"/>
  <c r="AH357" i="3"/>
  <c r="AH356" i="3"/>
  <c r="AH354" i="3"/>
  <c r="AH353" i="3"/>
  <c r="AH351" i="3"/>
  <c r="AH349" i="3"/>
  <c r="AH346" i="3"/>
  <c r="AH345" i="3"/>
  <c r="AH344" i="3"/>
  <c r="AH343" i="3"/>
  <c r="AH342" i="3"/>
  <c r="AH341" i="3"/>
  <c r="AH340" i="3"/>
  <c r="AH339" i="3"/>
  <c r="AH338" i="3"/>
  <c r="AH336" i="3"/>
  <c r="AH335" i="3"/>
  <c r="AH334" i="3"/>
  <c r="AH333" i="3"/>
  <c r="AH332" i="3"/>
  <c r="AH331" i="3"/>
  <c r="AH330" i="3"/>
  <c r="AH329" i="3"/>
  <c r="AH328" i="3"/>
  <c r="AH327" i="3"/>
  <c r="AH326" i="3"/>
  <c r="AH325" i="3"/>
  <c r="AH324" i="3"/>
  <c r="AH323" i="3"/>
  <c r="AH322" i="3"/>
  <c r="AH321" i="3"/>
  <c r="AH320" i="3"/>
  <c r="AH318" i="3"/>
  <c r="AH317" i="3"/>
  <c r="AH316" i="3"/>
  <c r="AH313" i="3"/>
  <c r="AH312" i="3"/>
  <c r="AH311" i="3"/>
  <c r="AH310" i="3"/>
  <c r="AH309" i="3"/>
  <c r="AH307" i="3"/>
  <c r="AH306" i="3"/>
  <c r="AH305" i="3"/>
  <c r="AH304" i="3"/>
  <c r="AH303" i="3"/>
  <c r="AH302" i="3"/>
  <c r="AH301" i="3"/>
  <c r="AH300" i="3"/>
  <c r="AH299" i="3"/>
  <c r="AH298" i="3"/>
  <c r="AH297" i="3"/>
  <c r="AH296" i="3"/>
  <c r="AH295" i="3"/>
  <c r="AH293" i="3"/>
  <c r="AH292" i="3"/>
  <c r="AH291" i="3"/>
  <c r="AH289" i="3"/>
  <c r="AH287" i="3"/>
  <c r="AH286" i="3"/>
  <c r="AH284" i="3"/>
  <c r="AH283" i="3"/>
  <c r="AH282" i="3"/>
  <c r="AH281" i="3"/>
  <c r="AH280" i="3"/>
  <c r="AH279" i="3"/>
  <c r="AH278" i="3"/>
  <c r="AH277" i="3"/>
  <c r="AH276" i="3"/>
  <c r="AH273" i="3"/>
  <c r="AH272" i="3"/>
  <c r="AH271" i="3"/>
  <c r="AH270" i="3"/>
  <c r="AH269" i="3"/>
  <c r="AH268" i="3"/>
  <c r="AH267" i="3"/>
  <c r="AH266" i="3"/>
  <c r="AH265" i="3"/>
  <c r="AH264" i="3"/>
  <c r="AH263" i="3"/>
  <c r="AH262" i="3"/>
  <c r="AH261" i="3"/>
  <c r="AH260" i="3"/>
  <c r="AH259" i="3"/>
  <c r="AH258" i="3"/>
  <c r="AH256" i="3"/>
  <c r="AH255" i="3"/>
  <c r="AH254" i="3"/>
  <c r="AH253" i="3"/>
  <c r="AH252" i="3"/>
  <c r="AH251" i="3"/>
  <c r="AH250" i="3"/>
  <c r="AH249" i="3"/>
  <c r="AH248" i="3"/>
  <c r="AH247" i="3"/>
  <c r="AH246" i="3"/>
  <c r="AH244" i="3"/>
  <c r="AH243" i="3"/>
  <c r="AH242" i="3"/>
  <c r="AH241" i="3"/>
  <c r="AH240" i="3"/>
  <c r="AH239" i="3"/>
  <c r="AH237" i="3"/>
  <c r="AH235" i="3"/>
  <c r="AH234" i="3"/>
  <c r="AH233" i="3"/>
  <c r="AH231" i="3"/>
  <c r="AH230" i="3"/>
  <c r="AH229" i="3"/>
  <c r="AH227" i="3"/>
  <c r="AH226" i="3"/>
  <c r="AH225" i="3"/>
  <c r="AH224" i="3"/>
  <c r="AH223" i="3"/>
  <c r="AH222" i="3"/>
  <c r="AH221" i="3"/>
  <c r="AH220" i="3"/>
  <c r="AH218" i="3"/>
  <c r="AH217" i="3"/>
  <c r="AH215" i="3"/>
  <c r="AH214" i="3"/>
  <c r="AH213" i="3"/>
  <c r="AH212" i="3"/>
  <c r="AH211" i="3"/>
  <c r="AH210" i="3"/>
  <c r="AH209" i="3"/>
  <c r="AH208" i="3"/>
  <c r="AH207" i="3"/>
  <c r="AH206" i="3"/>
  <c r="AH205" i="3"/>
  <c r="AH204" i="3"/>
  <c r="AH203" i="3"/>
  <c r="AH202" i="3"/>
  <c r="AH201" i="3"/>
  <c r="AH199" i="3"/>
  <c r="AH198" i="3"/>
  <c r="AH197" i="3"/>
  <c r="AH196" i="3"/>
  <c r="AH195" i="3"/>
  <c r="AH194" i="3"/>
  <c r="AH193" i="3"/>
  <c r="AH192" i="3"/>
  <c r="AH191" i="3"/>
  <c r="AH190" i="3"/>
  <c r="AH189" i="3"/>
  <c r="AH188" i="3"/>
  <c r="AH187" i="3"/>
  <c r="AH184" i="3"/>
  <c r="AH183" i="3"/>
  <c r="AH182" i="3"/>
  <c r="AH181" i="3"/>
  <c r="AH180" i="3"/>
  <c r="AH179" i="3"/>
  <c r="AH178" i="3"/>
  <c r="AH175" i="3"/>
  <c r="AH174" i="3"/>
  <c r="AH173" i="3"/>
  <c r="AH172" i="3"/>
  <c r="AH171" i="3"/>
  <c r="AH170" i="3"/>
  <c r="AH169" i="3"/>
  <c r="AH168" i="3"/>
  <c r="AH167" i="3"/>
  <c r="AH166" i="3"/>
  <c r="AH165" i="3"/>
  <c r="AH164" i="3"/>
  <c r="AH163" i="3"/>
  <c r="AH162" i="3"/>
  <c r="AH161" i="3"/>
  <c r="AH159" i="3"/>
  <c r="AH158" i="3"/>
  <c r="AH157" i="3"/>
  <c r="AH156" i="3"/>
  <c r="AH155" i="3"/>
  <c r="AH154" i="3"/>
  <c r="AH153" i="3"/>
  <c r="AH152" i="3"/>
  <c r="AH151" i="3"/>
  <c r="AH150" i="3"/>
  <c r="AH149" i="3"/>
  <c r="AH148" i="3"/>
  <c r="AH147" i="3"/>
  <c r="AH146" i="3"/>
  <c r="AH145" i="3"/>
  <c r="AH144" i="3"/>
  <c r="AH143" i="3"/>
  <c r="AH142" i="3"/>
  <c r="AH141" i="3"/>
  <c r="AH140" i="3"/>
  <c r="AH139" i="3"/>
  <c r="AH138" i="3"/>
  <c r="AH137" i="3"/>
  <c r="AH136" i="3"/>
  <c r="AH135" i="3"/>
  <c r="AH134" i="3"/>
  <c r="AH133" i="3"/>
  <c r="AH131" i="3"/>
  <c r="AH130" i="3"/>
  <c r="AH129" i="3"/>
  <c r="AH128" i="3"/>
  <c r="AH127" i="3"/>
  <c r="AH126" i="3"/>
  <c r="AH125" i="3"/>
  <c r="AH124" i="3"/>
  <c r="AH123" i="3"/>
  <c r="AH121" i="3"/>
  <c r="AH120" i="3"/>
  <c r="AH119" i="3"/>
  <c r="AH118" i="3"/>
  <c r="AH117" i="3"/>
  <c r="AH116" i="3"/>
  <c r="AH115" i="3"/>
  <c r="AH114" i="3"/>
  <c r="AH113" i="3"/>
  <c r="AH112" i="3"/>
  <c r="AH111" i="3"/>
  <c r="AH110" i="3"/>
  <c r="AH109" i="3"/>
  <c r="AH108" i="3"/>
  <c r="AH107" i="3"/>
  <c r="AH106" i="3"/>
  <c r="AH105" i="3"/>
  <c r="AH104" i="3"/>
  <c r="AH103" i="3"/>
  <c r="AH102" i="3"/>
  <c r="AH101" i="3"/>
  <c r="AH99" i="3"/>
  <c r="AH98" i="3"/>
  <c r="AH96" i="3"/>
  <c r="AH95" i="3"/>
  <c r="AH94" i="3"/>
  <c r="AH93" i="3"/>
  <c r="AH92" i="3"/>
  <c r="AH91" i="3"/>
  <c r="AH90" i="3"/>
  <c r="AH89" i="3"/>
  <c r="AH88" i="3"/>
  <c r="AH87" i="3"/>
  <c r="AH86" i="3"/>
  <c r="AH85" i="3"/>
  <c r="AH84" i="3"/>
  <c r="AH83" i="3"/>
  <c r="AH82" i="3"/>
  <c r="AH81" i="3"/>
  <c r="AH80" i="3"/>
  <c r="AH79" i="3"/>
  <c r="AH78" i="3"/>
  <c r="AH77" i="3"/>
  <c r="AH76" i="3"/>
  <c r="AH75" i="3"/>
  <c r="AH74" i="3"/>
  <c r="AH73" i="3"/>
  <c r="AH72" i="3"/>
  <c r="AH71" i="3"/>
  <c r="AH70" i="3"/>
  <c r="AH69" i="3"/>
  <c r="AH68" i="3"/>
  <c r="AH67" i="3"/>
  <c r="AH66" i="3"/>
  <c r="AH65" i="3"/>
  <c r="AH64" i="3"/>
  <c r="AH63" i="3"/>
  <c r="AH62" i="3"/>
  <c r="AH60" i="3"/>
  <c r="AH59" i="3"/>
  <c r="AH58" i="3"/>
  <c r="AH57" i="3"/>
  <c r="AH54" i="3"/>
  <c r="AH53" i="3"/>
  <c r="AH52" i="3"/>
  <c r="AH51" i="3"/>
  <c r="AH50" i="3"/>
  <c r="AH49" i="3"/>
  <c r="AH48" i="3"/>
  <c r="AH47" i="3"/>
  <c r="AH46" i="3"/>
  <c r="AH45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H4" i="3"/>
  <c r="AH3" i="3"/>
  <c r="AH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BAF336-F2F4-9F4F-B6EB-5D532A58D3A8}" keepAlive="1" name="Query - fpl_player_statistics_cleaned" description="Connection to the 'fpl_player_statistics_cleaned' query in the workbook." type="5" refreshedVersion="8" background="1" saveData="1">
    <dbPr connection="Provider=Microsoft.Mashup.OleDb.1;Data Source=$Workbook$;Location=fpl_player_statistics_cleaned;Extended Properties=&quot;&quot;" command="SELECT * FROM [fpl_player_statistics_cleaned]"/>
  </connection>
</connections>
</file>

<file path=xl/sharedStrings.xml><?xml version="1.0" encoding="utf-8"?>
<sst xmlns="http://schemas.openxmlformats.org/spreadsheetml/2006/main" count="3054" uniqueCount="1010">
  <si>
    <t>Player Name</t>
  </si>
  <si>
    <t>Club Name</t>
  </si>
  <si>
    <t>Position Name</t>
  </si>
  <si>
    <t>Now Cost</t>
  </si>
  <si>
    <t>Total Points</t>
  </si>
  <si>
    <t>Points Per Game</t>
  </si>
  <si>
    <t>Selected By Percent</t>
  </si>
  <si>
    <t>Goals Scored</t>
  </si>
  <si>
    <t>Assists</t>
  </si>
  <si>
    <t>Minutes</t>
  </si>
  <si>
    <t>Clean Sheets</t>
  </si>
  <si>
    <t>Goals Conceded</t>
  </si>
  <si>
    <t>Saves</t>
  </si>
  <si>
    <t>Bonus</t>
  </si>
  <si>
    <t>Ict Index</t>
  </si>
  <si>
    <t>Form</t>
  </si>
  <si>
    <t>Dreamteam Count</t>
  </si>
  <si>
    <t>Value Form</t>
  </si>
  <si>
    <t>Value Season</t>
  </si>
  <si>
    <t>Expected Goals</t>
  </si>
  <si>
    <t>Expected Assists</t>
  </si>
  <si>
    <t>Expected Goal Involvements</t>
  </si>
  <si>
    <t>Expected Goals Conceded</t>
  </si>
  <si>
    <t>Starts</t>
  </si>
  <si>
    <t>News</t>
  </si>
  <si>
    <t>Now Cost Rank</t>
  </si>
  <si>
    <t>Now Cost Rank Type</t>
  </si>
  <si>
    <t>Form Rank</t>
  </si>
  <si>
    <t>Form Rank Type</t>
  </si>
  <si>
    <t>Points Per Game Rank</t>
  </si>
  <si>
    <t>Points Per Game Rank Type</t>
  </si>
  <si>
    <t>Selected Rank</t>
  </si>
  <si>
    <t>Selected Rank Type</t>
  </si>
  <si>
    <t>Erling Haaland</t>
  </si>
  <si>
    <t>Man City</t>
  </si>
  <si>
    <t>FWD</t>
  </si>
  <si>
    <t>Gabriel Gabriel</t>
  </si>
  <si>
    <t>Arsenal</t>
  </si>
  <si>
    <t>DEF</t>
  </si>
  <si>
    <t>Antoine Semenyo</t>
  </si>
  <si>
    <t>Bournemouth</t>
  </si>
  <si>
    <t>MID</t>
  </si>
  <si>
    <t>Declan Rice</t>
  </si>
  <si>
    <t>Crystal Palace</t>
  </si>
  <si>
    <t>Riccardo Calafiori</t>
  </si>
  <si>
    <t>Igor Thiago Thiago</t>
  </si>
  <si>
    <t>Brentford</t>
  </si>
  <si>
    <t>Chelsea</t>
  </si>
  <si>
    <t>Bryan Mbeumo</t>
  </si>
  <si>
    <t>Man Utd</t>
  </si>
  <si>
    <t>Micky Van de Ven</t>
  </si>
  <si>
    <t>Spurs</t>
  </si>
  <si>
    <t>Marcos Senesi</t>
  </si>
  <si>
    <t>Robin Roefs</t>
  </si>
  <si>
    <t>Sunderland</t>
  </si>
  <si>
    <t>GKP</t>
  </si>
  <si>
    <t>Michael Keane</t>
  </si>
  <si>
    <t>Everton</t>
  </si>
  <si>
    <t>Maxence Lacroix</t>
  </si>
  <si>
    <t>Tyrick Mitchell</t>
  </si>
  <si>
    <t>Iliman Ndiaye</t>
  </si>
  <si>
    <t>Trevoh Chalobah</t>
  </si>
  <si>
    <t>Mohamed M.Salah</t>
  </si>
  <si>
    <t>Liverpool</t>
  </si>
  <si>
    <t>Josh Cullen</t>
  </si>
  <si>
    <t>Burnley</t>
  </si>
  <si>
    <t>David Raya</t>
  </si>
  <si>
    <t>Granit Xhaka</t>
  </si>
  <si>
    <t>Chris Richards</t>
  </si>
  <si>
    <t>Matty Cash</t>
  </si>
  <si>
    <t>Aston Villa</t>
  </si>
  <si>
    <t>Nick Pope</t>
  </si>
  <si>
    <t>Newcastle</t>
  </si>
  <si>
    <t>Pedro Neto</t>
  </si>
  <si>
    <t>Groin Injury - 75% chance of playing</t>
  </si>
  <si>
    <t>Ryan Gravenberch</t>
  </si>
  <si>
    <t>Nordi Mukiele</t>
  </si>
  <si>
    <t>Bruno Bruno G.</t>
  </si>
  <si>
    <t>Bruno B.Fernandes</t>
  </si>
  <si>
    <t>Jean-Philippe Mateta</t>
  </si>
  <si>
    <t>Yankuba Minteh</t>
  </si>
  <si>
    <t>Brighton</t>
  </si>
  <si>
    <t>Jaidon Anthony</t>
  </si>
  <si>
    <t>Marc Cucurella</t>
  </si>
  <si>
    <t>Daniel Ballard</t>
  </si>
  <si>
    <t>Dan Burn</t>
  </si>
  <si>
    <t>Enzo Enzo</t>
  </si>
  <si>
    <t>Knee injury - 75% chance of playing</t>
  </si>
  <si>
    <t>Carlos Henrique Casemiro</t>
  </si>
  <si>
    <t>Knock - 75% chance of playing</t>
  </si>
  <si>
    <t>Marcus Tavernier</t>
  </si>
  <si>
    <t>Ryan Sessegnon</t>
  </si>
  <si>
    <t>Fulham</t>
  </si>
  <si>
    <t>Guglielmo Vicario</t>
  </si>
  <si>
    <t>Reece James</t>
  </si>
  <si>
    <t>Pedro Pedro Porro</t>
  </si>
  <si>
    <t>Jarrod Bowen</t>
  </si>
  <si>
    <t>West Ham</t>
  </si>
  <si>
    <t>Cody Gakpo</t>
  </si>
  <si>
    <t>Joe Rodon</t>
  </si>
  <si>
    <t>Leeds</t>
  </si>
  <si>
    <t>Adrien Truffert</t>
  </si>
  <si>
    <t>Mohammed Kudus</t>
  </si>
  <si>
    <t>Knock - 50% chance of playing</t>
  </si>
  <si>
    <t>Omar Alderete</t>
  </si>
  <si>
    <t>Head injury - Expected back 22 Nov</t>
  </si>
  <si>
    <t>Danny Welbeck</t>
  </si>
  <si>
    <t>Bukayo Saka</t>
  </si>
  <si>
    <t>Dean Henderson</t>
  </si>
  <si>
    <t>Suspended until 30 Nov</t>
  </si>
  <si>
    <t>Matheus Matheus N.</t>
  </si>
  <si>
    <t>Dominik Szoboszlai</t>
  </si>
  <si>
    <t>Richarlison Richarlison</t>
  </si>
  <si>
    <t>Jack Grealish</t>
  </si>
  <si>
    <t>James Tarkowski</t>
  </si>
  <si>
    <t>Lucas Digne</t>
  </si>
  <si>
    <t>Jordan Pickford</t>
  </si>
  <si>
    <t>James Garner</t>
  </si>
  <si>
    <t>Idrissa Gana Gana</t>
  </si>
  <si>
    <t>Virgil Virgil</t>
  </si>
  <si>
    <t>Trai Hume</t>
  </si>
  <si>
    <t>Elliot Anderson</t>
  </si>
  <si>
    <t>Nott'm Forest</t>
  </si>
  <si>
    <t>Brenden Aaronson</t>
  </si>
  <si>
    <t>Eberechi Eze</t>
  </si>
  <si>
    <t>Wilson Isidor</t>
  </si>
  <si>
    <t>Anton Stach</t>
  </si>
  <si>
    <t>Jan Paul Van Hecke</t>
  </si>
  <si>
    <t>Alex Iwobi</t>
  </si>
  <si>
    <t>Leandro Trossard</t>
  </si>
  <si>
    <t>Nick Woltemade</t>
  </si>
  <si>
    <t>Kevin Schade</t>
  </si>
  <si>
    <t>Emiliano Martinez</t>
  </si>
  <si>
    <t>Morgan Gibbs-White</t>
  </si>
  <si>
    <t>Dango O.Dango</t>
  </si>
  <si>
    <t>Matthijs De Ligt</t>
  </si>
  <si>
    <t>William Saliba</t>
  </si>
  <si>
    <t>Malo Gusto</t>
  </si>
  <si>
    <t>Joachim Andersen</t>
  </si>
  <si>
    <t>Sean Longstaff</t>
  </si>
  <si>
    <t>Amad Amad</t>
  </si>
  <si>
    <t>Tino Livramento</t>
  </si>
  <si>
    <t>Knee injury - Expected back 22 Nov</t>
  </si>
  <si>
    <t>Tyler Adams</t>
  </si>
  <si>
    <t>Pape Matar P.M.Sarr</t>
  </si>
  <si>
    <t>Muscle injury - 25% chance of playing</t>
  </si>
  <si>
    <t>Jacob J.Murphy</t>
  </si>
  <si>
    <t>Quilindschy Hartman</t>
  </si>
  <si>
    <t>Mats Wieffer</t>
  </si>
  <si>
    <t>Alex Scott</t>
  </si>
  <si>
    <t>Rodrigo Bentancur</t>
  </si>
  <si>
    <t>Morgan Rogers</t>
  </si>
  <si>
    <t>Marshall Munetsi</t>
  </si>
  <si>
    <t>Wolves</t>
  </si>
  <si>
    <t>Kiernan Dewsbury-Hall</t>
  </si>
  <si>
    <t>Harry Wilson</t>
  </si>
  <si>
    <t>Michael Kayode</t>
  </si>
  <si>
    <t>Cristian Romero</t>
  </si>
  <si>
    <t>Sepp Van den Berg</t>
  </si>
  <si>
    <t>Chemsdine Talbi</t>
  </si>
  <si>
    <t>Bernd Leno</t>
  </si>
  <si>
    <t>Tijjani Reijnders</t>
  </si>
  <si>
    <t>Ezri Konsa</t>
  </si>
  <si>
    <t>Yehor Yarmoliuk</t>
  </si>
  <si>
    <t>Harry Maguire</t>
  </si>
  <si>
    <t>Hamstring injury - 75% chance of playing</t>
  </si>
  <si>
    <t>Mikkel Damsgaard</t>
  </si>
  <si>
    <t>Donyell Malen</t>
  </si>
  <si>
    <t>Daichi Kamada</t>
  </si>
  <si>
    <t>Nathan Collins</t>
  </si>
  <si>
    <t>Sandro Tonali</t>
  </si>
  <si>
    <t>Lesley Ugochukwu</t>
  </si>
  <si>
    <t>Dan Ndoye</t>
  </si>
  <si>
    <t>Sven Botman</t>
  </si>
  <si>
    <t>El Hadji Malick Diouf</t>
  </si>
  <si>
    <t>Phil Foden</t>
  </si>
  <si>
    <t>Gianluigi Donnarumma</t>
  </si>
  <si>
    <t>Djed Spence</t>
  </si>
  <si>
    <t>John McGinn</t>
  </si>
  <si>
    <t>Georginio Georginio</t>
  </si>
  <si>
    <t>Kieran Trippier</t>
  </si>
  <si>
    <t>Junior Kroupi.Jr</t>
  </si>
  <si>
    <t>Jordan Henderson</t>
  </si>
  <si>
    <t>Noah Okafor</t>
  </si>
  <si>
    <t>Yasin Ayari</t>
  </si>
  <si>
    <t>Kyle Walker</t>
  </si>
  <si>
    <t>Lewis Dunk</t>
  </si>
  <si>
    <t>Diego Gomez</t>
  </si>
  <si>
    <t>Lyle Foster</t>
  </si>
  <si>
    <t>Florentino Ibrain Florentino</t>
  </si>
  <si>
    <t>Jayden Bogle</t>
  </si>
  <si>
    <t>Jake O'Brien</t>
  </si>
  <si>
    <t>Calvin Bassey</t>
  </si>
  <si>
    <t>Luke Shaw</t>
  </si>
  <si>
    <t>Brennan Johnson</t>
  </si>
  <si>
    <t>Nico N.Gonzalez</t>
  </si>
  <si>
    <t>Gabriel Gudmundsson</t>
  </si>
  <si>
    <t>Suspended until 29 Nov</t>
  </si>
  <si>
    <t>Sander Berge</t>
  </si>
  <si>
    <t>Josh Acheampong</t>
  </si>
  <si>
    <t>Ollie Watkins</t>
  </si>
  <si>
    <t>Matheus Cunha</t>
  </si>
  <si>
    <t>Malick Thiaw</t>
  </si>
  <si>
    <t>Noah Sadiki</t>
  </si>
  <si>
    <t>Adam Wharton</t>
  </si>
  <si>
    <t>Bart Verbruggen</t>
  </si>
  <si>
    <t>Kenny Tete</t>
  </si>
  <si>
    <t>Francisco Evanilson Evanilson</t>
  </si>
  <si>
    <t>Pascal Struijk</t>
  </si>
  <si>
    <t>Pau Pau</t>
  </si>
  <si>
    <t>Chris Wood</t>
  </si>
  <si>
    <t>Knee injury - 25% chance of playing</t>
  </si>
  <si>
    <t>Dominic Calvert-Lewin</t>
  </si>
  <si>
    <t>Thigh injury - 75% chance of playing</t>
  </si>
  <si>
    <t>Alexis Mac Allister</t>
  </si>
  <si>
    <t>Santiago S.Bueno</t>
  </si>
  <si>
    <t>Bernardo Bernardo</t>
  </si>
  <si>
    <t>Zian Flemming</t>
  </si>
  <si>
    <t>Harvey Barnes</t>
  </si>
  <si>
    <t>Tyrone Mings</t>
  </si>
  <si>
    <t>Hamstring injury - 25% chance of playing</t>
  </si>
  <si>
    <t>Lucas Bergvall</t>
  </si>
  <si>
    <t>Head injury - Expected back 23 Nov</t>
  </si>
  <si>
    <t>Ethan Ampadu</t>
  </si>
  <si>
    <t>Amadou Onana</t>
  </si>
  <si>
    <t>Alejandro Garnacho</t>
  </si>
  <si>
    <t>Crysencio Summerville</t>
  </si>
  <si>
    <t>Boubacar Kamara</t>
  </si>
  <si>
    <t>Lukas Nmecha</t>
  </si>
  <si>
    <t>Mathys Tel</t>
  </si>
  <si>
    <t>Matz Sels</t>
  </si>
  <si>
    <t>Mikel Merino</t>
  </si>
  <si>
    <t>Leny Yoro</t>
  </si>
  <si>
    <t>Loum Tchaouna</t>
  </si>
  <si>
    <t>Mason Mount</t>
  </si>
  <si>
    <t>Callum Hudson-Odoi</t>
  </si>
  <si>
    <t>Dead leg - 25% chance of playing</t>
  </si>
  <si>
    <t>Callum Wilson</t>
  </si>
  <si>
    <t>Diogo Dalot</t>
  </si>
  <si>
    <t>Hannibal Hannibal</t>
  </si>
  <si>
    <t>Milos Kerkez</t>
  </si>
  <si>
    <t>David Brooks</t>
  </si>
  <si>
    <t>Mathias Jensen</t>
  </si>
  <si>
    <t>Jefferson Lerma</t>
  </si>
  <si>
    <t>Kyle Walker-Peters</t>
  </si>
  <si>
    <t>Norberto Bercique Beto</t>
  </si>
  <si>
    <t>Hugo H.Bueno</t>
  </si>
  <si>
    <t>Keane Lewis-Potter</t>
  </si>
  <si>
    <t>Hjalmar Ekdal</t>
  </si>
  <si>
    <t>Xavi Xavi</t>
  </si>
  <si>
    <t>Mitoma Mitoma</t>
  </si>
  <si>
    <t>Knock - 25% chance of playing</t>
  </si>
  <si>
    <t>Maximilian Kilman</t>
  </si>
  <si>
    <t>Neco N.Williams</t>
  </si>
  <si>
    <t>Alisson A.Becker</t>
  </si>
  <si>
    <t>Muscle injury - Expected back 22 Nov</t>
  </si>
  <si>
    <t>Rayan Cherki</t>
  </si>
  <si>
    <t>Federico Chiesa</t>
  </si>
  <si>
    <t>Josh King</t>
  </si>
  <si>
    <t>Giorgi Mamardashvili</t>
  </si>
  <si>
    <t>Florian Wirtz</t>
  </si>
  <si>
    <t>Jhon J.Arias</t>
  </si>
  <si>
    <t>Kristoffer Ajer</t>
  </si>
  <si>
    <t>Brajan Gruda</t>
  </si>
  <si>
    <t>Wilson Odobert</t>
  </si>
  <si>
    <t>Oscar Bobb</t>
  </si>
  <si>
    <t>William Osula</t>
  </si>
  <si>
    <t>Ankle injury - Unknown return date</t>
  </si>
  <si>
    <t>Justin Kluivert</t>
  </si>
  <si>
    <t>Reinildo Reinildo</t>
  </si>
  <si>
    <t>Tim Iroegbunam</t>
  </si>
  <si>
    <t>Rodrigo Muniz</t>
  </si>
  <si>
    <t>Konstantinos Mavropanos</t>
  </si>
  <si>
    <t>Vitalii Mykolenko</t>
  </si>
  <si>
    <t>James Hill</t>
  </si>
  <si>
    <t>Lucas Estella Perri</t>
  </si>
  <si>
    <t>Ryan Christie</t>
  </si>
  <si>
    <t>Eliezer Mayenda</t>
  </si>
  <si>
    <t>Gabriel Martinelli</t>
  </si>
  <si>
    <t>Senne Lammens</t>
  </si>
  <si>
    <t>Hwang Hee Chan</t>
  </si>
  <si>
    <t>Emile Smith Rowe</t>
  </si>
  <si>
    <t>Patrick Dorgu</t>
  </si>
  <si>
    <t>Axel Tuanzebe</t>
  </si>
  <si>
    <t>Lamare Bogarde</t>
  </si>
  <si>
    <t>Anthony Elanga</t>
  </si>
  <si>
    <t>Carlos Baleba</t>
  </si>
  <si>
    <t>Jacob Bruun Larsen</t>
  </si>
  <si>
    <t>Maxim De Cuyper</t>
  </si>
  <si>
    <t>Wesley Fofana</t>
  </si>
  <si>
    <t>James Milner</t>
  </si>
  <si>
    <t>Conor Bradley</t>
  </si>
  <si>
    <t>Rico Lewis</t>
  </si>
  <si>
    <t>Sam Johnstone</t>
  </si>
  <si>
    <t>Josh Laurent</t>
  </si>
  <si>
    <t>Alphonse Areola</t>
  </si>
  <si>
    <t>Jackson Tchatchoua</t>
  </si>
  <si>
    <t>Cristhian Mosquera</t>
  </si>
  <si>
    <t>Evann Guessand</t>
  </si>
  <si>
    <t>Aaron Wan-Bissaka</t>
  </si>
  <si>
    <t>Igor Jesus Igor Jesus</t>
  </si>
  <si>
    <t>Will Hughes</t>
  </si>
  <si>
    <t>Tosin Tosin</t>
  </si>
  <si>
    <t>Lewis L.Miley</t>
  </si>
  <si>
    <t>Simon Adingra</t>
  </si>
  <si>
    <t>Rodrigo R.Gomes</t>
  </si>
  <si>
    <t>Groin Injury - Expected back 17 Jan</t>
  </si>
  <si>
    <t>Knee injury - Expected back 23 Nov</t>
  </si>
  <si>
    <t>Curtis C.Jones</t>
  </si>
  <si>
    <t>Brian Brobbey</t>
  </si>
  <si>
    <t>Jean-Ricner Bellegarde</t>
  </si>
  <si>
    <t>Manuel Ugarte</t>
  </si>
  <si>
    <t>Omari Hutchinson</t>
  </si>
  <si>
    <t>Tanaka Tanaka</t>
  </si>
  <si>
    <t>Murillo Murillo</t>
  </si>
  <si>
    <t>Rodrigo 'Rodri' Rodrigo</t>
  </si>
  <si>
    <t>Destiny Udogie</t>
  </si>
  <si>
    <t>Kevin Danso</t>
  </si>
  <si>
    <t>Matt O'Riley</t>
  </si>
  <si>
    <t>has joined Marseille on loan for the rest of the season.</t>
  </si>
  <si>
    <t>Frank Onyeka</t>
  </si>
  <si>
    <t>Anthony Gordon</t>
  </si>
  <si>
    <t>Hip injury - 50% chance of playing</t>
  </si>
  <si>
    <t>Omar Marmoush</t>
  </si>
  <si>
    <t>Youri Tielemans</t>
  </si>
  <si>
    <t>Thierno Barry</t>
  </si>
  <si>
    <t>Habib Diarra</t>
  </si>
  <si>
    <t>Groin Injury - Expected back 03 Dec</t>
  </si>
  <si>
    <t>Daniel James</t>
  </si>
  <si>
    <t>James Ward-Prowse</t>
  </si>
  <si>
    <t>Ryan Yates</t>
  </si>
  <si>
    <t>Jack Harrison</t>
  </si>
  <si>
    <t>Abdukodir Khusanov</t>
  </si>
  <si>
    <t>Altay Bayindir</t>
  </si>
  <si>
    <t>John Stones</t>
  </si>
  <si>
    <t>Emmanuel Agbadou</t>
  </si>
  <si>
    <t>Adama Adama</t>
  </si>
  <si>
    <t>Jaydee Canvot</t>
  </si>
  <si>
    <t>James Trafford</t>
  </si>
  <si>
    <t>Cole Palmer</t>
  </si>
  <si>
    <t>Groin Injury - Expected back 22 Nov</t>
  </si>
  <si>
    <t>Andrew Robertson</t>
  </si>
  <si>
    <t>Stefanos Tzimas</t>
  </si>
  <si>
    <t>Freddie Potts</t>
  </si>
  <si>
    <t>Vitaly Janelt</t>
  </si>
  <si>
    <t>Noni Madueke</t>
  </si>
  <si>
    <t>Timothy Castagne</t>
  </si>
  <si>
    <t>Kevin Kevin</t>
  </si>
  <si>
    <t>Ross Barkley</t>
  </si>
  <si>
    <t>Alexander Isak</t>
  </si>
  <si>
    <t>Lack of match fitness - 75% chance of playing</t>
  </si>
  <si>
    <t>Lutsharel Geertruida</t>
  </si>
  <si>
    <t>Karl Darlow</t>
  </si>
  <si>
    <t>Noussair Mazraoui</t>
  </si>
  <si>
    <t>Lewis Hall</t>
  </si>
  <si>
    <t>Adam Smith</t>
  </si>
  <si>
    <t>Justin Devenny</t>
  </si>
  <si>
    <t>Jamie Gittens</t>
  </si>
  <si>
    <t>Rio Ngumoha</t>
  </si>
  <si>
    <t>Tolu Tolu</t>
  </si>
  <si>
    <t>Mads Hermansen</t>
  </si>
  <si>
    <t>Amine Adli</t>
  </si>
  <si>
    <t>Andy Irving</t>
  </si>
  <si>
    <t>Aaron Hickey</t>
  </si>
  <si>
    <t>Chris Rigg</t>
  </si>
  <si>
    <t>Tom Cairney</t>
  </si>
  <si>
    <t>Eddie Nketiah</t>
  </si>
  <si>
    <t>Hamstring injury - Expected back 22 Nov</t>
  </si>
  <si>
    <t>Charalampos Kostoulas</t>
  </si>
  <si>
    <t>Carlos Alcaraz</t>
  </si>
  <si>
    <t>Felipe Morato</t>
  </si>
  <si>
    <t>Jean-Clair Todibo</t>
  </si>
  <si>
    <t>Marc Marc Guiu</t>
  </si>
  <si>
    <t>Andrey Andrey Santos</t>
  </si>
  <si>
    <t>Ethan Nwaneri</t>
  </si>
  <si>
    <t>Jorge J.Cuenca</t>
  </si>
  <si>
    <t>Kobbie Mainoo</t>
  </si>
  <si>
    <t>Douglas Luiz Douglas Luiz</t>
  </si>
  <si>
    <t>Hamstring injury - Unknown return date</t>
  </si>
  <si>
    <t>Ilia Gruev</t>
  </si>
  <si>
    <t>Jeremie Frimpong</t>
  </si>
  <si>
    <t>Samuel Chukwueze</t>
  </si>
  <si>
    <t>Calf injury - 25% chance of playing</t>
  </si>
  <si>
    <t>Marco M.Bizot</t>
  </si>
  <si>
    <t>Ben Gannon-Doak</t>
  </si>
  <si>
    <t>Ola Aina</t>
  </si>
  <si>
    <t>Hamstring injury - Expected back 13 Dec</t>
  </si>
  <si>
    <t>Wilfried Gnonto</t>
  </si>
  <si>
    <t>Myles Lewis-Skelly</t>
  </si>
  <si>
    <t>Benjamin White</t>
  </si>
  <si>
    <t>Toti Toti</t>
  </si>
  <si>
    <t>Ian Maatsen</t>
  </si>
  <si>
    <t>Endo Endo</t>
  </si>
  <si>
    <t>Jaka Bijol</t>
  </si>
  <si>
    <t>Liam Delap</t>
  </si>
  <si>
    <t>Soungoutou S.Magassa</t>
  </si>
  <si>
    <t>Randal Kolo Muani</t>
  </si>
  <si>
    <t>Rico Henry</t>
  </si>
  <si>
    <t>Arnaud Kalimuendo</t>
  </si>
  <si>
    <t>Jacob J.Ramsey</t>
  </si>
  <si>
    <t>Ki-Jana Hoever</t>
  </si>
  <si>
    <t>Armando Broja</t>
  </si>
  <si>
    <t>Oleksandr Zinchenko</t>
  </si>
  <si>
    <t>Muscle injury - Unknown return date</t>
  </si>
  <si>
    <t>Max Dowman</t>
  </si>
  <si>
    <t>Lewis Cook</t>
  </si>
  <si>
    <t>Dilane Bakwa</t>
  </si>
  <si>
    <t>Knock - Unknown return date</t>
  </si>
  <si>
    <t>Joe Willock</t>
  </si>
  <si>
    <t>Tyrique George</t>
  </si>
  <si>
    <t>Joshua Zirkzee</t>
  </si>
  <si>
    <t>Taiwo Awoniyi</t>
  </si>
  <si>
    <t>Jack Hinshelwood</t>
  </si>
  <si>
    <t>Archie Gray</t>
  </si>
  <si>
    <t>Calf injury - Unknown return date</t>
  </si>
  <si>
    <t>Ayden Heaven</t>
  </si>
  <si>
    <t>Joe Gomez</t>
  </si>
  <si>
    <t>Thigh injury - Unknown return date</t>
  </si>
  <si>
    <t>James Justin</t>
  </si>
  <si>
    <t>James McAtee</t>
  </si>
  <si>
    <t>Harvey Elliott</t>
  </si>
  <si>
    <t>Jadon Sancho</t>
  </si>
  <si>
    <t>Issa Diop</t>
  </si>
  <si>
    <t>Joe Worrall</t>
  </si>
  <si>
    <t>Nayef N.Aguerd</t>
  </si>
  <si>
    <t>has joined Marseille permanently.</t>
  </si>
  <si>
    <t>Christantus Uche</t>
  </si>
  <si>
    <t>Jorrel Hato</t>
  </si>
  <si>
    <t>Antonee Robinson</t>
  </si>
  <si>
    <t>Knee injury - Unknown return date</t>
  </si>
  <si>
    <t>Diego Coppola</t>
  </si>
  <si>
    <t>Dwight McNeil</t>
  </si>
  <si>
    <t>Tyler Dibling</t>
  </si>
  <si>
    <t>Luis Guilherme L.Guilherme</t>
  </si>
  <si>
    <t>Oliver Sonne</t>
  </si>
  <si>
    <t>Marcus Edwards</t>
  </si>
  <si>
    <t>Guido G.Rodriguez</t>
  </si>
  <si>
    <t>Igor Julio Igor</t>
  </si>
  <si>
    <t>Jair Jair Cunha</t>
  </si>
  <si>
    <t>Callum Marshall</t>
  </si>
  <si>
    <t>Piero Hincapie</t>
  </si>
  <si>
    <t>Matt Doherty</t>
  </si>
  <si>
    <t>Reiss Nelson</t>
  </si>
  <si>
    <t>Dan Neil</t>
  </si>
  <si>
    <t>Tom Watson</t>
  </si>
  <si>
    <t>Jenson Seelt</t>
  </si>
  <si>
    <t>has joined Wolfsburg on loan for the rest of the season.</t>
  </si>
  <si>
    <t>Dominic Solanke</t>
  </si>
  <si>
    <t>Ankle injury - Expected back 23 Nov</t>
  </si>
  <si>
    <t>Yerson Mosquera</t>
  </si>
  <si>
    <t>has joined LASK on loan for the rest of the season.</t>
  </si>
  <si>
    <t>Arthur Masuaku</t>
  </si>
  <si>
    <t>Ollie Scarles</t>
  </si>
  <si>
    <t>Shoulder injury - Expected back 27 Dec</t>
  </si>
  <si>
    <t>Jamaal Lascelles</t>
  </si>
  <si>
    <t>Patrick Roberts</t>
  </si>
  <si>
    <t>has joined Birmingham City on loan for the rest of the season.</t>
  </si>
  <si>
    <t>has joined Besiktas on loan for the rest of the season.</t>
  </si>
  <si>
    <t>Lucas Lucas Pires</t>
  </si>
  <si>
    <t>Nathaniel Clyne</t>
  </si>
  <si>
    <t>Ben Winterburn</t>
  </si>
  <si>
    <t>has joined Barnet on loan for the rest of the season.</t>
  </si>
  <si>
    <t>Facundo Buonanotte</t>
  </si>
  <si>
    <t>Nehemiah Oriola</t>
  </si>
  <si>
    <t>Julio Soler</t>
  </si>
  <si>
    <t>Jonah Kusi-Asare</t>
  </si>
  <si>
    <t>Joe Knight</t>
  </si>
  <si>
    <t>Sam Byram</t>
  </si>
  <si>
    <t>Harrison Armstrong</t>
  </si>
  <si>
    <t>has joined Preston North End on loan for the rest of the season.</t>
  </si>
  <si>
    <t>Kai Havertz</t>
  </si>
  <si>
    <t>Borna Sosa</t>
  </si>
  <si>
    <t>Antoni Milambo</t>
  </si>
  <si>
    <t>Knee injury - Expected back 01 Jun</t>
  </si>
  <si>
    <t>Bradley Burrowes</t>
  </si>
  <si>
    <t>has joined RC Lens permanently.</t>
  </si>
  <si>
    <t>Ashley Barnes</t>
  </si>
  <si>
    <t>Romain Esse</t>
  </si>
  <si>
    <t>Norberto Neto</t>
  </si>
  <si>
    <t>Has joined Botafogo permanently.</t>
  </si>
  <si>
    <t>Radu Dragusin</t>
  </si>
  <si>
    <t>Will Dennis</t>
  </si>
  <si>
    <t>Ben Davies</t>
  </si>
  <si>
    <t>Luis Sinisterra</t>
  </si>
  <si>
    <t>Has joined Cruzeiro on loan for the rest of the season.</t>
  </si>
  <si>
    <t>Mikey Moore</t>
  </si>
  <si>
    <t>Has joined Rangers on loan for the rest of the season.</t>
  </si>
  <si>
    <t>Dejan Kulusevski</t>
  </si>
  <si>
    <t>Bryan Bryan</t>
  </si>
  <si>
    <t>has joined Girona permanently.</t>
  </si>
  <si>
    <t>Romain Faivre</t>
  </si>
  <si>
    <t>has joined Al Taawoun permanently.</t>
  </si>
  <si>
    <t>Dominic Sadi</t>
  </si>
  <si>
    <t>has joined Novi Pazar on loan for the rest of the season.</t>
  </si>
  <si>
    <t>Brandon Austin</t>
  </si>
  <si>
    <t>Zain Silcott-Duberry</t>
  </si>
  <si>
    <t>has joined Olympiakos permanently.</t>
  </si>
  <si>
    <t>Philip Philip</t>
  </si>
  <si>
    <t>Has joined Midtjylland permanently.</t>
  </si>
  <si>
    <t>Manor Solomon</t>
  </si>
  <si>
    <t>has joined Villarreal CF on loan for the rest of the season.</t>
  </si>
  <si>
    <t>Matai Akinmboni</t>
  </si>
  <si>
    <t>Chris Mepham</t>
  </si>
  <si>
    <t>has joined West Bromwich Albion permanently.</t>
  </si>
  <si>
    <t>Callan McKenna</t>
  </si>
  <si>
    <t>Ashley Phillips</t>
  </si>
  <si>
    <t>Has joined Stoke City on loan for the rest of the season.</t>
  </si>
  <si>
    <t>Yves Bissouma</t>
  </si>
  <si>
    <t>Takai Takai</t>
  </si>
  <si>
    <t>Thigh injury - Expected back 23 Nov</t>
  </si>
  <si>
    <t>Luka Vuskovic</t>
  </si>
  <si>
    <t>has joined Hamburger SV on loan for the rest of the season.</t>
  </si>
  <si>
    <t>Son Son</t>
  </si>
  <si>
    <t>Has joined Los Angeles FC permanently.</t>
  </si>
  <si>
    <t>James Maddison</t>
  </si>
  <si>
    <t>Anterior cruciate ligament - Unknown return date</t>
  </si>
  <si>
    <t>Alex Paulsen</t>
  </si>
  <si>
    <t>Has joined Lechia Gdansk on loan for the rest of the season.</t>
  </si>
  <si>
    <t>Illia Zabarnyi</t>
  </si>
  <si>
    <t>Has joined Paris Saint-Germain permanently.</t>
  </si>
  <si>
    <t>Owen Bevan</t>
  </si>
  <si>
    <t>Calvin Ramsay</t>
  </si>
  <si>
    <t>Matthew Cox</t>
  </si>
  <si>
    <t>Daniel Adu-Adjei</t>
  </si>
  <si>
    <t>has joined HNK Rijeka permanently.</t>
  </si>
  <si>
    <t>Romaine Mundle</t>
  </si>
  <si>
    <t>has joined Cracovia on loan for the rest of the season.</t>
  </si>
  <si>
    <t>Gustavo Nunes</t>
  </si>
  <si>
    <t>Romelle Donovan</t>
  </si>
  <si>
    <t>Yunus Emre Konak</t>
  </si>
  <si>
    <t>Paris Maghoma</t>
  </si>
  <si>
    <t>Myles Peart-Harris</t>
  </si>
  <si>
    <t>Luke O'Nien</t>
  </si>
  <si>
    <t>Ian Poveda</t>
  </si>
  <si>
    <t>Zak Johnson</t>
  </si>
  <si>
    <t>Niall Huggins</t>
  </si>
  <si>
    <t>has joined Wycombe Wanderers on loan for the rest of the season.</t>
  </si>
  <si>
    <t>Leo Fuhr Hjelde</t>
  </si>
  <si>
    <t>Achilles injury - 50% chance of playing</t>
  </si>
  <si>
    <t>Dennis Cirkin</t>
  </si>
  <si>
    <t>Wrist Injury - 50% chance of playing</t>
  </si>
  <si>
    <t>Joe Anderson</t>
  </si>
  <si>
    <t>Aji Alese</t>
  </si>
  <si>
    <t>Shoulder injury - 50% chance of playing</t>
  </si>
  <si>
    <t>Ryan Trevitt</t>
  </si>
  <si>
    <t>Has joined Wigan on loan for the rest of the season</t>
  </si>
  <si>
    <t>Jayden Meghoma</t>
  </si>
  <si>
    <t>Kim Ji-soo</t>
  </si>
  <si>
    <t>has joined Kaiserslautern on loan for the rest of the season.</t>
  </si>
  <si>
    <t>Remy Rees-Dottin</t>
  </si>
  <si>
    <t>Ethan Pinnock</t>
  </si>
  <si>
    <t>Ellery Balcombe</t>
  </si>
  <si>
    <t>Callum Olusesi</t>
  </si>
  <si>
    <t>Julian Eyestone</t>
  </si>
  <si>
    <t>Nazarii Rusyn</t>
  </si>
  <si>
    <t>has joined Arka on loan for the rest of the season.</t>
  </si>
  <si>
    <t>has joined Moreirense on loan for the rest of the season.</t>
  </si>
  <si>
    <t>Ahmed Abdullahi</t>
  </si>
  <si>
    <t>Mads Roerslev</t>
  </si>
  <si>
    <t>Has joined Southampton permanently.</t>
  </si>
  <si>
    <t>Benjamin Fredrick</t>
  </si>
  <si>
    <t>has joined Dender on loan for the rest of the season.</t>
  </si>
  <si>
    <t>Nectarios Triantis</t>
  </si>
  <si>
    <t>has joined Minnesota United permanently.</t>
  </si>
  <si>
    <t>Jay Matete</t>
  </si>
  <si>
    <t>Harrison H.Jones</t>
  </si>
  <si>
    <t>Pierre Ekwah</t>
  </si>
  <si>
    <t>Has joined AS Saint-Etienne permanently.</t>
  </si>
  <si>
    <t>Alan Browne</t>
  </si>
  <si>
    <t>has joined Middlesbrough on loan for the rest of the season.</t>
  </si>
  <si>
    <t>Abdoullah Ba</t>
  </si>
  <si>
    <t>Benjamin Arthur</t>
  </si>
  <si>
    <t>Yang Min-hyeok</t>
  </si>
  <si>
    <t>Has joined Portsmouth on loan for the rest of the season.</t>
  </si>
  <si>
    <t>Dane Scarlett</t>
  </si>
  <si>
    <t>Michael Obafemi</t>
  </si>
  <si>
    <t>Lino Sousa</t>
  </si>
  <si>
    <t>Joe Gauci</t>
  </si>
  <si>
    <t>Has joined Port Vale on loan for the rest of the season.</t>
  </si>
  <si>
    <t>Alfie Pond</t>
  </si>
  <si>
    <t>Pedro Pedro Lima</t>
  </si>
  <si>
    <t>has joined Porto on loan for the rest of the season.</t>
  </si>
  <si>
    <t>Bastien Meupiyou</t>
  </si>
  <si>
    <t>On loan to FC Alverca</t>
  </si>
  <si>
    <t>Filip Marschall</t>
  </si>
  <si>
    <t>Has joined Stevenage permanently.</t>
  </si>
  <si>
    <t>Has joined Girona permanently.</t>
  </si>
  <si>
    <t>Yasin Yasin</t>
  </si>
  <si>
    <t>has joined Anderlecht on loan for the rest of the season.</t>
  </si>
  <si>
    <t>Gabriel G.Jesus</t>
  </si>
  <si>
    <t>Leon Bailey</t>
  </si>
  <si>
    <t>Has joined AS Roma on loan for the rest of the season.</t>
  </si>
  <si>
    <t>Samuel Iling Jr</t>
  </si>
  <si>
    <t>has joined West Bromwich Albion on loan for the rest of the season</t>
  </si>
  <si>
    <t>Enzo Barrenechea</t>
  </si>
  <si>
    <t>Season-long loan to Benfica</t>
  </si>
  <si>
    <t>Daniel Bentley</t>
  </si>
  <si>
    <t>Lewis Dobbin</t>
  </si>
  <si>
    <t>Has joined Preston North End on loan for the rest of the season.</t>
  </si>
  <si>
    <t>Ben Broggio</t>
  </si>
  <si>
    <t>Airidas Golambeckis</t>
  </si>
  <si>
    <t>Andre Harriman-Annous</t>
  </si>
  <si>
    <t>Albert Sambi</t>
  </si>
  <si>
    <t>has joined Hamburger permanently.</t>
  </si>
  <si>
    <t>Lukasz Fabianski</t>
  </si>
  <si>
    <t>Back injury - 25% chance of playing</t>
  </si>
  <si>
    <t>Josh Nichols</t>
  </si>
  <si>
    <t>Karl Hein</t>
  </si>
  <si>
    <t>Has joined Werder Bremen on loan for the rest of the season.</t>
  </si>
  <si>
    <t>Tommy Setford</t>
  </si>
  <si>
    <t>Jakub Kiwior</t>
  </si>
  <si>
    <t>Brayden Clarke</t>
  </si>
  <si>
    <t>Maldini Kacurri</t>
  </si>
  <si>
    <t>has joined Morecambe on loan for the rest of the season.</t>
  </si>
  <si>
    <t>Nathan Fraser</t>
  </si>
  <si>
    <t>Leon Chiwome</t>
  </si>
  <si>
    <t>has joined Borussia Dortmund permanently.</t>
  </si>
  <si>
    <t>Has joined Real Sociedad permanently.</t>
  </si>
  <si>
    <t>has joined Hamburger on loan for the rest of the season.</t>
  </si>
  <si>
    <t>Joe Hodge</t>
  </si>
  <si>
    <t>Signed by CD Tondela</t>
  </si>
  <si>
    <t>Enso Gonzalez</t>
  </si>
  <si>
    <t>Tom Edozie</t>
  </si>
  <si>
    <t>Tawanda Chirewa</t>
  </si>
  <si>
    <t>Boubacar B.Traore</t>
  </si>
  <si>
    <t>Has joined FC Metz on loan for the rest of the season.</t>
  </si>
  <si>
    <t>Ismeal Kabia</t>
  </si>
  <si>
    <t>has joined Shrewsbury Town on loan for the rest of the season.</t>
  </si>
  <si>
    <t>Ezra Mayers</t>
  </si>
  <si>
    <t>Leander Dendoncker</t>
  </si>
  <si>
    <t>Has joined Real Oviedo permanently.</t>
  </si>
  <si>
    <t>Will Lankshear</t>
  </si>
  <si>
    <t>Has joined Oxford United on loan for the rest of the season.</t>
  </si>
  <si>
    <t>Aaron A.Ramsey</t>
  </si>
  <si>
    <t>has joined Leicester City on loan for the rest of the season.</t>
  </si>
  <si>
    <t>Manuel Benson</t>
  </si>
  <si>
    <t>has joined Swansea City on loan for the rest of the season.</t>
  </si>
  <si>
    <t>Enock Boateng</t>
  </si>
  <si>
    <t>Darko Churlinov</t>
  </si>
  <si>
    <t>Emerson Emerson</t>
  </si>
  <si>
    <t>Luca Koleosho</t>
  </si>
  <si>
    <t>Has joined Espanyol on loan for the rest of the season.</t>
  </si>
  <si>
    <t>Wes Foderingham</t>
  </si>
  <si>
    <t>has joined Aris Limassol permanently.</t>
  </si>
  <si>
    <t>Oluwaseun Adewumi</t>
  </si>
  <si>
    <t>Has joined Cercle Brugge on loan for the rest of the season.</t>
  </si>
  <si>
    <t>Jordan Jordan</t>
  </si>
  <si>
    <t>Yusuf Akhamrich</t>
  </si>
  <si>
    <t>James Rowswell</t>
  </si>
  <si>
    <t>Jun'ai Byfield</t>
  </si>
  <si>
    <t>Jaydon Banel</t>
  </si>
  <si>
    <t>Zeki Amdouni</t>
  </si>
  <si>
    <t>Blondy Nna Noukeu</t>
  </si>
  <si>
    <t>Shurandy Sambo</t>
  </si>
  <si>
    <t>Has joined Sparta Rotterdam on loan for the rest of the season.</t>
  </si>
  <si>
    <t>Kaelan Casey</t>
  </si>
  <si>
    <t>Has joined Swansea City on loan for the rest of the season.</t>
  </si>
  <si>
    <t>Jamaldeen Jimoh-Aloba</t>
  </si>
  <si>
    <t>Max Weiss</t>
  </si>
  <si>
    <t>Kadan Young</t>
  </si>
  <si>
    <t>has joined Huddersfield Town on loan for the rest of the season.</t>
  </si>
  <si>
    <t>James Wright</t>
  </si>
  <si>
    <t>Triston Rowe</t>
  </si>
  <si>
    <t>has joined Annecy on loan for the rest of the season.</t>
  </si>
  <si>
    <t>Sam Proctor</t>
  </si>
  <si>
    <t>Travis Patterson</t>
  </si>
  <si>
    <t>Lewis Orford</t>
  </si>
  <si>
    <t>has joined Stevenage on loan for the rest of the season.</t>
  </si>
  <si>
    <t>George Earthy</t>
  </si>
  <si>
    <t>Bashir Humphreys</t>
  </si>
  <si>
    <t>Etienne Green</t>
  </si>
  <si>
    <t>has joined FC Fredericia permanently.</t>
  </si>
  <si>
    <t>Maxwel Cornet</t>
  </si>
  <si>
    <t>has joined Genoa on loan for the rest of the season.</t>
  </si>
  <si>
    <t>Connor Roberts</t>
  </si>
  <si>
    <t>Achilles injury - Unknown return date</t>
  </si>
  <si>
    <t>Hannes Delcroix</t>
  </si>
  <si>
    <t>Owen Dodgson</t>
  </si>
  <si>
    <t>Has joined Stockport County on loan for the rest of the season.</t>
  </si>
  <si>
    <t>Iwan Morgan</t>
  </si>
  <si>
    <t>John Victor John</t>
  </si>
  <si>
    <t>Simon Moore</t>
  </si>
  <si>
    <t>Jenson Metcalfe</t>
  </si>
  <si>
    <t>Has joined Bradford City permanently.</t>
  </si>
  <si>
    <t>Elyh Harrison</t>
  </si>
  <si>
    <t>On loan to Shrewsbury Town</t>
  </si>
  <si>
    <t>has joined Trabzonspor on loan for the rest of the season.</t>
  </si>
  <si>
    <t>Coby Ebere</t>
  </si>
  <si>
    <t>Isaac Heath</t>
  </si>
  <si>
    <t>has joined Accrington on loan for the rest of the season.</t>
  </si>
  <si>
    <t>Ryan McAidoo</t>
  </si>
  <si>
    <t>Stephen Mfuni</t>
  </si>
  <si>
    <t>Divine Mukasa</t>
  </si>
  <si>
    <t>Youssef Y.Chermiti</t>
  </si>
  <si>
    <t>has joined Rangers permanently.</t>
  </si>
  <si>
    <t>Dermot Mee</t>
  </si>
  <si>
    <t>Kalvin Phillips</t>
  </si>
  <si>
    <t>Sverre Nypan</t>
  </si>
  <si>
    <t>Has joined Middlesbrough on loan for the rest of the season.</t>
  </si>
  <si>
    <t>Martin Sherif</t>
  </si>
  <si>
    <t>has joined Rotherham United on loan for the rest of the season.</t>
  </si>
  <si>
    <t>Claudio Echeverri</t>
  </si>
  <si>
    <t>Has joined Bayer Leverkusen on loan for the rest of the season.</t>
  </si>
  <si>
    <t>Tom King</t>
  </si>
  <si>
    <t>Adam Aznou</t>
  </si>
  <si>
    <t>Tyler Onyango</t>
  </si>
  <si>
    <t>has joined Stockport County on loan for the rest of the season.</t>
  </si>
  <si>
    <t>Tom Heaton</t>
  </si>
  <si>
    <t>Callum Bates</t>
  </si>
  <si>
    <t>Has joined CR Vasco da Gama on loan for the rest of the season.</t>
  </si>
  <si>
    <t>Mark Travers</t>
  </si>
  <si>
    <t>Kaden Rodney</t>
  </si>
  <si>
    <t>Franco Umeh</t>
  </si>
  <si>
    <t>has joined Portsmouth permanently.</t>
  </si>
  <si>
    <t>Antony Antony</t>
  </si>
  <si>
    <t>has joined Real Betis permanently.</t>
  </si>
  <si>
    <t>Marcus Rashford</t>
  </si>
  <si>
    <t>Has joined Barcelona on loan for the rest of the season</t>
  </si>
  <si>
    <t>Zach Marsh</t>
  </si>
  <si>
    <t>Rio Cardines</t>
  </si>
  <si>
    <t>Tyrell Malacia</t>
  </si>
  <si>
    <t>Tyler Fredricson</t>
  </si>
  <si>
    <t>Lisandro Martinez</t>
  </si>
  <si>
    <t>Harry Amass</t>
  </si>
  <si>
    <t>has joined Sheffield Wednesday on loan for the rest of the season.</t>
  </si>
  <si>
    <t>Harry Tyrer</t>
  </si>
  <si>
    <t>Jarrad Branthwaite</t>
  </si>
  <si>
    <t>Nathan Patterson</t>
  </si>
  <si>
    <t>Foot injury - Expected back 23 Nov</t>
  </si>
  <si>
    <t>Roman Dixon</t>
  </si>
  <si>
    <t>Reece Welch</t>
  </si>
  <si>
    <t>Diego D.Leon</t>
  </si>
  <si>
    <t>Elijah Campbell</t>
  </si>
  <si>
    <t>has joined Galatasaray permanently.</t>
  </si>
  <si>
    <t>Steven Benda</t>
  </si>
  <si>
    <t>Has joined Millwall on loan for the rest of the season.</t>
  </si>
  <si>
    <t>James McConnell</t>
  </si>
  <si>
    <t>has joined Ajax on loan for the rest of the season.</t>
  </si>
  <si>
    <t>Joe Gelhardt</t>
  </si>
  <si>
    <t>Has joined Hull City on loan for the rest of the season.</t>
  </si>
  <si>
    <t>Darko Gyabi</t>
  </si>
  <si>
    <t>has joined Hull City permanently.</t>
  </si>
  <si>
    <t>Patrick Bamford</t>
  </si>
  <si>
    <t>has departed the club as a free agent.</t>
  </si>
  <si>
    <t>Jayden Danns</t>
  </si>
  <si>
    <t>Darwin Darwin</t>
  </si>
  <si>
    <t>Has joined Al-Hilal permanently.</t>
  </si>
  <si>
    <t>Trey Nyoni</t>
  </si>
  <si>
    <t>Tyler Morton</t>
  </si>
  <si>
    <t>Has joined Lyon permanently.</t>
  </si>
  <si>
    <t>Stefan Bajcetic</t>
  </si>
  <si>
    <t>Samuel Amissah</t>
  </si>
  <si>
    <t>Mateo Mateo Joseph</t>
  </si>
  <si>
    <t>Has joined RCD Mallorca on loan for the rest of the season.</t>
  </si>
  <si>
    <t>Harry Gray</t>
  </si>
  <si>
    <t>Freddie Woodman</t>
  </si>
  <si>
    <t>Konstantinos Tsimikas</t>
  </si>
  <si>
    <t>has joined AS Roma on loan for the rest of the season.</t>
  </si>
  <si>
    <t>Amara Nallo</t>
  </si>
  <si>
    <t>Rhys R.Williams</t>
  </si>
  <si>
    <t>Giovanni Leoni</t>
  </si>
  <si>
    <t>Knee injury - Expected back 01 Sep</t>
  </si>
  <si>
    <t>Kieran Morrison</t>
  </si>
  <si>
    <t>Charlie Crew</t>
  </si>
  <si>
    <t>Has joined Doncaster Rovers on loan for the rest of the season.</t>
  </si>
  <si>
    <t>Ederson Ederson M.</t>
  </si>
  <si>
    <t>has joined Fenerbache permanently.</t>
  </si>
  <si>
    <t>Andreas Andreas</t>
  </si>
  <si>
    <t>has joined Palmeiras permanently.</t>
  </si>
  <si>
    <t>Martial Godo</t>
  </si>
  <si>
    <t>has joined Strasbourg permanently.</t>
  </si>
  <si>
    <t>Luke Harris</t>
  </si>
  <si>
    <t>Harrison Reed</t>
  </si>
  <si>
    <t>Vitor Vitor Reis</t>
  </si>
  <si>
    <t>Has joined Girona on loan for the rest of the season.</t>
  </si>
  <si>
    <t>Benjamin Lecomte</t>
  </si>
  <si>
    <t>Kepa Arrizabalaga</t>
  </si>
  <si>
    <t>Alex Cairns</t>
  </si>
  <si>
    <t>Sebastiaan Bornauw</t>
  </si>
  <si>
    <t>Isaac Schmidt</t>
  </si>
  <si>
    <t>has joined Werder Bremen on loan for the rest of the season.</t>
  </si>
  <si>
    <t>Manuel Akanji</t>
  </si>
  <si>
    <t>has joined Inter Milan on loan for the rest of the season.</t>
  </si>
  <si>
    <t>Sam Greenwood</t>
  </si>
  <si>
    <t>has joined Pogon Szczecin permanently.</t>
  </si>
  <si>
    <t>Largie Ramazani</t>
  </si>
  <si>
    <t>has joined Valencia on loan for the rest of the season.</t>
  </si>
  <si>
    <t>Marcus Bettinelli</t>
  </si>
  <si>
    <t>Stefan Ortega Moreno</t>
  </si>
  <si>
    <t>David Ozoh</t>
  </si>
  <si>
    <t>Has joined Derby County on loan for the rest of the season.</t>
  </si>
  <si>
    <t>Toby Collyer</t>
  </si>
  <si>
    <t>Has joined West Bromwich Albion on loan for the rest of the season.</t>
  </si>
  <si>
    <t>Anthony Patterson</t>
  </si>
  <si>
    <t>Adrian Mazilu</t>
  </si>
  <si>
    <t>has joined Dinamo Bucharest permanently.</t>
  </si>
  <si>
    <t>Abdallah Sima</t>
  </si>
  <si>
    <t>has joined Lens permanently.</t>
  </si>
  <si>
    <t>Jeremy Sarmiento</t>
  </si>
  <si>
    <t>has joined Cremonese on loan for the rest of the season.</t>
  </si>
  <si>
    <t>Willy Boly</t>
  </si>
  <si>
    <t>Zach Abbott</t>
  </si>
  <si>
    <t>Omar O.Richards</t>
  </si>
  <si>
    <t>has joined Rio Ave on loan for the rest of the season.</t>
  </si>
  <si>
    <t>Malick Yalcouye</t>
  </si>
  <si>
    <t>David David Carmo</t>
  </si>
  <si>
    <t>has joined Real Oviedo on loan for the rest of the season.</t>
  </si>
  <si>
    <t>Andrew Moran</t>
  </si>
  <si>
    <t>Has joined Los Angeles FC on loan for the rest of the season.</t>
  </si>
  <si>
    <t>Solly March</t>
  </si>
  <si>
    <t>Evan Ferguson</t>
  </si>
  <si>
    <t>Has joined AS Roma on loan for the rest of the season</t>
  </si>
  <si>
    <t>Matt Turner</t>
  </si>
  <si>
    <t>Carlos Miguel C.Miguel</t>
  </si>
  <si>
    <t>Has joined Palmeiras permanently.</t>
  </si>
  <si>
    <t>Mike Penders</t>
  </si>
  <si>
    <t>Has joined RC Strasbourg on loan for the rest of the season.</t>
  </si>
  <si>
    <t>Gabriel Slonina</t>
  </si>
  <si>
    <t>Seung-Soo Seung soo</t>
  </si>
  <si>
    <t>Levi Colwill</t>
  </si>
  <si>
    <t>Julio Enciso</t>
  </si>
  <si>
    <t>Charlie Tasker</t>
  </si>
  <si>
    <t>Jayce Fitzgerald</t>
  </si>
  <si>
    <t>Angus Gunn</t>
  </si>
  <si>
    <t>Josh Dasilva</t>
  </si>
  <si>
    <t>Luis Eduardo Cuiabano</t>
  </si>
  <si>
    <t>has joined Botafogo on loan for the rest of the season.</t>
  </si>
  <si>
    <t>Jason Steele</t>
  </si>
  <si>
    <t>Has joined Bayern Munch permanently.</t>
  </si>
  <si>
    <t>Tom McGill</t>
  </si>
  <si>
    <t>Carl Rushworth</t>
  </si>
  <si>
    <t>Has joined Coventry City on loan for the rest of the season.</t>
  </si>
  <si>
    <t>Kjell Scherpen</t>
  </si>
  <si>
    <t>Has joined Union SG permanently</t>
  </si>
  <si>
    <t>Olivier Boscagli</t>
  </si>
  <si>
    <t>Lewis O'Brien</t>
  </si>
  <si>
    <t>Has joined Wrexham permanently.</t>
  </si>
  <si>
    <t>Has joined AC Milan permanently</t>
  </si>
  <si>
    <t>Tariq Lamptey</t>
  </si>
  <si>
    <t>has joined Fiorentina permanently.</t>
  </si>
  <si>
    <t>Adam Webster</t>
  </si>
  <si>
    <t>Marko Stamenic</t>
  </si>
  <si>
    <t>Has joined Swansea City permanently.</t>
  </si>
  <si>
    <t>Eric Da Silva Moreira</t>
  </si>
  <si>
    <t>Eiran Cashin</t>
  </si>
  <si>
    <t>Has joined Birmingham on loan for the rest of the season.</t>
  </si>
  <si>
    <t>Jacob Slater</t>
  </si>
  <si>
    <t>has joined Harrogate Town on loan until January.</t>
  </si>
  <si>
    <t>Aaron Ramsdale</t>
  </si>
  <si>
    <t>Sean Neave</t>
  </si>
  <si>
    <t>Naouirou Ahamada</t>
  </si>
  <si>
    <t>Rob Holding</t>
  </si>
  <si>
    <t>Has joined Colorado Rapids permanently.</t>
  </si>
  <si>
    <t>Caleb Kporha</t>
  </si>
  <si>
    <t>Back injury - Unknown return date</t>
  </si>
  <si>
    <t>Odysseas Odysseas</t>
  </si>
  <si>
    <t>Has joined Sevilla on loan for the rest of the season.</t>
  </si>
  <si>
    <t>Mark Gillespie</t>
  </si>
  <si>
    <t>Yoane Wissa</t>
  </si>
  <si>
    <t>Asher Agbinone</t>
  </si>
  <si>
    <t>Malcolm Ebiowei</t>
  </si>
  <si>
    <t>Has joined Blackpool permanently.</t>
  </si>
  <si>
    <t>Joe White</t>
  </si>
  <si>
    <t>Has joined Leyton Orient on loan for the rest of the season.</t>
  </si>
  <si>
    <t>Ethan Wheatley</t>
  </si>
  <si>
    <t>has joined Northampton Town on loan for the rest of the season.</t>
  </si>
  <si>
    <t>Chido Obi</t>
  </si>
  <si>
    <t>Jesurun J.Rak-Sakyi</t>
  </si>
  <si>
    <t>has joined Caykur Rizespor on loan for the rest of the season.</t>
  </si>
  <si>
    <t>has joined Napoli on loan for the rest of the season.</t>
  </si>
  <si>
    <t>Jack Moorhouse</t>
  </si>
  <si>
    <t>has joined Leyton Orient on loan for the rest of the season.</t>
  </si>
  <si>
    <t>Jack J.Fletcher</t>
  </si>
  <si>
    <t>Chadi Chadi Riad</t>
  </si>
  <si>
    <t>Emil Krafth</t>
  </si>
  <si>
    <t>Remi Matthews</t>
  </si>
  <si>
    <t>Alex A.Murphy</t>
  </si>
  <si>
    <t>Mamadou M.Sarr</t>
  </si>
  <si>
    <t>Garang Kuol</t>
  </si>
  <si>
    <t>has joined Sparta Prague permanently.</t>
  </si>
  <si>
    <t>Isaac Hayden</t>
  </si>
  <si>
    <t>Has departed the club as a free agent.</t>
  </si>
  <si>
    <t>has joined Borussia Dortmund on loan for the rest of the season.</t>
  </si>
  <si>
    <t>has joined KVC Westerlo on loan for the rest of the season.</t>
  </si>
  <si>
    <t>Christopher Nkunku</t>
  </si>
  <si>
    <t>has joined AC Milan permanently.</t>
  </si>
  <si>
    <t>Mykhailo Mudryk</t>
  </si>
  <si>
    <t>Suspended - unknown return date</t>
  </si>
  <si>
    <t>Thigh injury - Expected back 04 Jan</t>
  </si>
  <si>
    <t>Kendry Paez</t>
  </si>
  <si>
    <t>Nicolas N.Jackson</t>
  </si>
  <si>
    <t>has joined Bayern Munich on loan for the rest of the season.</t>
  </si>
  <si>
    <t>Landon Emenalo</t>
  </si>
  <si>
    <t>Walter Benitez</t>
  </si>
  <si>
    <t>Matt Targett</t>
  </si>
  <si>
    <t>Miodrag Pivas</t>
  </si>
  <si>
    <t>Harrison Ashby</t>
  </si>
  <si>
    <t>Illan Meslier</t>
  </si>
  <si>
    <t/>
  </si>
  <si>
    <t>Jurriën J.Timber</t>
  </si>
  <si>
    <t>Marc Guéhi</t>
  </si>
  <si>
    <t>Daniel Muñoz</t>
  </si>
  <si>
    <t>Moisés Caicedo</t>
  </si>
  <si>
    <t>João Pedro João Pedro</t>
  </si>
  <si>
    <t>Nico O’Reilly</t>
  </si>
  <si>
    <t>João Maria J.Palhinha</t>
  </si>
  <si>
    <t>Martín Zubimendi</t>
  </si>
  <si>
    <t>Ismaïla Sarr</t>
  </si>
  <si>
    <t>Rúben Rúben</t>
  </si>
  <si>
    <t>Lucas L.Paquetá</t>
  </si>
  <si>
    <t>Jérémy Doku</t>
  </si>
  <si>
    <t>Đorđe Petrović</t>
  </si>
  <si>
    <t>Ibrahima Konaté</t>
  </si>
  <si>
    <t>Hugo Ekitiké</t>
  </si>
  <si>
    <t>Emiliano Buendía</t>
  </si>
  <si>
    <t>Viktor Gyökeres</t>
  </si>
  <si>
    <t>Robert Sánchez</t>
  </si>
  <si>
    <t>Martin Dúbravka</t>
  </si>
  <si>
    <t>Enzo E.Le Fée</t>
  </si>
  <si>
    <t>Joško Gvardiol</t>
  </si>
  <si>
    <t>Caoimhín Kelleher</t>
  </si>
  <si>
    <t>Benjamin Šeško</t>
  </si>
  <si>
    <t>Bafodé Diakité</t>
  </si>
  <si>
    <t>Estêvão Estêvão</t>
  </si>
  <si>
    <t>Mateus Gonçalo M.Fernandes</t>
  </si>
  <si>
    <t>Maxime Estève</t>
  </si>
  <si>
    <t>Saša Lukić</t>
  </si>
  <si>
    <t>Tomáš Souček</t>
  </si>
  <si>
    <t>Raúl Raúl</t>
  </si>
  <si>
    <t>André André</t>
  </si>
  <si>
    <t>Fabian Schär</t>
  </si>
  <si>
    <t>João Victor Gomes</t>
  </si>
  <si>
    <t>Ferdi F.Kadıoğlu</t>
  </si>
  <si>
    <t>Joelinton Cássio Joelinton</t>
  </si>
  <si>
    <t>Jørgen Strand Larsen</t>
  </si>
  <si>
    <t>Nikola Milenković</t>
  </si>
  <si>
    <t>Ibrahim Sangaré</t>
  </si>
  <si>
    <t>Ladislav Krejčí</t>
  </si>
  <si>
    <t>Sávio Savinho</t>
  </si>
  <si>
    <t>Yéremy Yeremy</t>
  </si>
  <si>
    <t>Veljko Milosavljević</t>
  </si>
  <si>
    <t>Martin Ødegaard</t>
  </si>
  <si>
    <t>Bertrand Traoré</t>
  </si>
  <si>
    <t>Fábio Carvalho</t>
  </si>
  <si>
    <t>Nicolò Savona</t>
  </si>
  <si>
    <t>Rayan Aït-Nouri</t>
  </si>
  <si>
    <t>Nathan Aké</t>
  </si>
  <si>
    <t>Niclas Füllkrug</t>
  </si>
  <si>
    <t>David Møller Wolfe</t>
  </si>
  <si>
    <t>Álex A.Jimenez</t>
  </si>
  <si>
    <t>Fer Fer López</t>
  </si>
  <si>
    <t>Joël Veltman</t>
  </si>
  <si>
    <t>Joël Piroe</t>
  </si>
  <si>
    <t>José José Sá</t>
  </si>
  <si>
    <t>Hamed H.Traorè</t>
  </si>
  <si>
    <t>Roméo Lavia</t>
  </si>
  <si>
    <t>Merlin Röhl</t>
  </si>
  <si>
    <t>Victor Lindelöf</t>
  </si>
  <si>
    <t>Séamus Coleman</t>
  </si>
  <si>
    <t>Nicolás Dominguez</t>
  </si>
  <si>
    <t>Christian Nørgaard</t>
  </si>
  <si>
    <t>Mateo Kovačić</t>
  </si>
  <si>
    <t>Saša Kalajdžić</t>
  </si>
  <si>
    <t>João Pedro Jota</t>
  </si>
  <si>
    <t>Mateus Mané</t>
  </si>
  <si>
    <t>Filip Jörgensen</t>
  </si>
  <si>
    <t>Enes Enes Ünal</t>
  </si>
  <si>
    <t>Odsonne Édouard</t>
  </si>
  <si>
    <t>Antonín Kinsky</t>
  </si>
  <si>
    <t>Julián J.Araujo</t>
  </si>
  <si>
    <t>Timothée Pembele</t>
  </si>
  <si>
    <t>Milan Aleksić</t>
  </si>
  <si>
    <t>Hákon Rafn Valdimarsson</t>
  </si>
  <si>
    <t>Luís Hemir Luís Hemir</t>
  </si>
  <si>
    <t>has joined VfL Bochum  on loan for the rest of the season.</t>
  </si>
  <si>
    <t>Andrés A.García</t>
  </si>
  <si>
    <t>Álex Alex Moreno</t>
  </si>
  <si>
    <t>Fábio Fábio Silva</t>
  </si>
  <si>
    <t>Gonçalo Manuel Guedes</t>
  </si>
  <si>
    <t>Fábio Fábio Vieira</t>
  </si>
  <si>
    <t>has joined Kocaelispor  permanently.</t>
  </si>
  <si>
    <t>Krisztián Hegyi</t>
  </si>
  <si>
    <t>Mike Trésor</t>
  </si>
  <si>
    <t>Zépiqueno Redmond</t>
  </si>
  <si>
    <t>Václav Hladký</t>
  </si>
  <si>
    <t>Edson Álvarez</t>
  </si>
  <si>
    <t>Has joined Fenerbahçe on loan for the rest of the season.</t>
  </si>
  <si>
    <t>André Onana</t>
  </si>
  <si>
    <t>Matheus M.França</t>
  </si>
  <si>
    <t>İlkay Gündoğan</t>
  </si>
  <si>
    <t>Ármin Pécsi</t>
  </si>
  <si>
    <t>Luis Luis Díaz</t>
  </si>
  <si>
    <t>Pervis Estupiñan</t>
  </si>
  <si>
    <t>Benoît B.Badiashile</t>
  </si>
  <si>
    <t>Cheick Doucouré</t>
  </si>
  <si>
    <t>Rasmus Højlund</t>
  </si>
  <si>
    <t>Sékou Kone</t>
  </si>
  <si>
    <t>Aarón Anselmino</t>
  </si>
  <si>
    <t>Antoñito Antoñito C.</t>
  </si>
  <si>
    <t>Dário D.Essugo</t>
  </si>
  <si>
    <t>No News</t>
  </si>
  <si>
    <t>Grand Total</t>
  </si>
  <si>
    <t>Average of Total Points</t>
  </si>
  <si>
    <t>Position</t>
  </si>
  <si>
    <t>Points per Million</t>
  </si>
  <si>
    <t>Attack Involvement</t>
  </si>
  <si>
    <t>Points per Start</t>
  </si>
  <si>
    <t>ROI (Return on Investment)</t>
  </si>
  <si>
    <t>Minutes per Point</t>
  </si>
  <si>
    <t>Smart Player Selector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</si>
</sst>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adarsan NA" refreshedDate="45971.862408449073" createdVersion="8" refreshedVersion="8" minRefreshableVersion="3" recordCount="752" xr:uid="{CA497BD1-0C4C-7142-BF09-9931C00C4A79}">
  <cacheSource type="worksheet">
    <worksheetSource name="fpl_player_statistics_cleaned"/>
  </cacheSource>
  <cacheFields count="33">
    <cacheField name="Player Name" numFmtId="0">
      <sharedItems/>
    </cacheField>
    <cacheField name="Club Name" numFmtId="0">
      <sharedItems count="20">
        <s v="Man City"/>
        <s v="Arsenal"/>
        <s v="Bournemouth"/>
        <s v="Crystal Palace"/>
        <s v="Brentford"/>
        <s v="Chelsea"/>
        <s v="Man Utd"/>
        <s v="Spurs"/>
        <s v="Sunderland"/>
        <s v="Everton"/>
        <s v="Liverpool"/>
        <s v="Burnley"/>
        <s v="Aston Villa"/>
        <s v="Newcastle"/>
        <s v="Brighton"/>
        <s v="Fulham"/>
        <s v="West Ham"/>
        <s v="Leeds"/>
        <s v="Nott'm Forest"/>
        <s v="Wolves"/>
      </sharedItems>
    </cacheField>
    <cacheField name="Position Name" numFmtId="0">
      <sharedItems count="4">
        <s v="FWD"/>
        <s v="DEF"/>
        <s v="MID"/>
        <s v="GKP"/>
      </sharedItems>
    </cacheField>
    <cacheField name="Now Cost" numFmtId="0">
      <sharedItems containsSemiMixedTypes="0" containsString="0" containsNumber="1" minValue="3.8" maxValue="14.8"/>
    </cacheField>
    <cacheField name="Total Points" numFmtId="0">
      <sharedItems containsSemiMixedTypes="0" containsString="0" containsNumber="1" containsInteger="1" minValue="0" maxValue="102"/>
    </cacheField>
    <cacheField name="Points Per Game" numFmtId="0">
      <sharedItems containsSemiMixedTypes="0" containsString="0" containsNumber="1" minValue="0" maxValue="9.3000000000000007"/>
    </cacheField>
    <cacheField name="Selected By Percent" numFmtId="0">
      <sharedItems containsSemiMixedTypes="0" containsString="0" containsNumber="1" minValue="0" maxValue="70.5"/>
    </cacheField>
    <cacheField name="Goals Scored" numFmtId="0">
      <sharedItems containsSemiMixedTypes="0" containsString="0" containsNumber="1" containsInteger="1" minValue="0" maxValue="14"/>
    </cacheField>
    <cacheField name="Assists" numFmtId="0">
      <sharedItems containsSemiMixedTypes="0" containsString="0" containsNumber="1" containsInteger="1" minValue="0" maxValue="5"/>
    </cacheField>
    <cacheField name="Minutes" numFmtId="0">
      <sharedItems containsSemiMixedTypes="0" containsString="0" containsNumber="1" containsInteger="1" minValue="0" maxValue="990"/>
    </cacheField>
    <cacheField name="Clean Sheets" numFmtId="0">
      <sharedItems containsSemiMixedTypes="0" containsString="0" containsNumber="1" containsInteger="1" minValue="0" maxValue="7"/>
    </cacheField>
    <cacheField name="Goals Conceded" numFmtId="0">
      <sharedItems containsSemiMixedTypes="0" containsString="0" containsNumber="1" containsInteger="1" minValue="0" maxValue="23"/>
    </cacheField>
    <cacheField name="Saves" numFmtId="0">
      <sharedItems containsSemiMixedTypes="0" containsString="0" containsNumber="1" containsInteger="1" minValue="0" maxValue="46"/>
    </cacheField>
    <cacheField name="Bonus" numFmtId="0">
      <sharedItems containsSemiMixedTypes="0" containsString="0" containsNumber="1" containsInteger="1" minValue="0" maxValue="23"/>
    </cacheField>
    <cacheField name="Ict Index" numFmtId="0">
      <sharedItems containsSemiMixedTypes="0" containsString="0" containsNumber="1" minValue="0" maxValue="124.1"/>
    </cacheField>
    <cacheField name="Form" numFmtId="0">
      <sharedItems containsSemiMixedTypes="0" containsString="0" containsNumber="1" minValue="-0.8" maxValue="8.5"/>
    </cacheField>
    <cacheField name="Dreamteam Count" numFmtId="0">
      <sharedItems containsSemiMixedTypes="0" containsString="0" containsNumber="1" containsInteger="1" minValue="0" maxValue="5"/>
    </cacheField>
    <cacheField name="Value Form" numFmtId="0">
      <sharedItems containsSemiMixedTypes="0" containsString="0" containsNumber="1" minValue="-0.2" maxValue="1.6"/>
    </cacheField>
    <cacheField name="Value Season" numFmtId="0">
      <sharedItems containsSemiMixedTypes="0" containsString="0" containsNumber="1" minValue="0" maxValue="12.5"/>
    </cacheField>
    <cacheField name="Expected Goals" numFmtId="0">
      <sharedItems containsSemiMixedTypes="0" containsString="0" containsNumber="1" minValue="0" maxValue="11.03"/>
    </cacheField>
    <cacheField name="Expected Assists" numFmtId="0">
      <sharedItems containsSemiMixedTypes="0" containsString="0" containsNumber="1" minValue="0" maxValue="2.5299999999999998"/>
    </cacheField>
    <cacheField name="Expected Goal Involvements" numFmtId="0">
      <sharedItems containsSemiMixedTypes="0" containsString="0" containsNumber="1" minValue="0" maxValue="11.73"/>
    </cacheField>
    <cacheField name="Expected Goals Conceded" numFmtId="0">
      <sharedItems containsSemiMixedTypes="0" containsString="0" containsNumber="1" minValue="0" maxValue="24.26"/>
    </cacheField>
    <cacheField name="Starts" numFmtId="0">
      <sharedItems containsSemiMixedTypes="0" containsString="0" containsNumber="1" containsInteger="1" minValue="0" maxValue="11"/>
    </cacheField>
    <cacheField name="News" numFmtId="0">
      <sharedItems/>
    </cacheField>
    <cacheField name="Now Cost Rank" numFmtId="0">
      <sharedItems containsSemiMixedTypes="0" containsString="0" containsNumber="1" containsInteger="1" minValue="1" maxValue="752"/>
    </cacheField>
    <cacheField name="Now Cost Rank Type" numFmtId="0">
      <sharedItems containsSemiMixedTypes="0" containsString="0" containsNumber="1" containsInteger="1" minValue="1" maxValue="334"/>
    </cacheField>
    <cacheField name="Form Rank" numFmtId="0">
      <sharedItems containsSemiMixedTypes="0" containsString="0" containsNumber="1" containsInteger="1" minValue="1" maxValue="752"/>
    </cacheField>
    <cacheField name="Form Rank Type" numFmtId="0">
      <sharedItems containsSemiMixedTypes="0" containsString="0" containsNumber="1" containsInteger="1" minValue="1" maxValue="334"/>
    </cacheField>
    <cacheField name="Points Per Game Rank" numFmtId="0">
      <sharedItems containsSemiMixedTypes="0" containsString="0" containsNumber="1" containsInteger="1" minValue="1" maxValue="752"/>
    </cacheField>
    <cacheField name="Points Per Game Rank Type" numFmtId="0">
      <sharedItems containsSemiMixedTypes="0" containsString="0" containsNumber="1" containsInteger="1" minValue="1" maxValue="334"/>
    </cacheField>
    <cacheField name="Selected Rank" numFmtId="0">
      <sharedItems containsSemiMixedTypes="0" containsString="0" containsNumber="1" containsInteger="1" minValue="1" maxValue="752"/>
    </cacheField>
    <cacheField name="Selected Rank Type" numFmtId="0">
      <sharedItems containsSemiMixedTypes="0" containsString="0" containsNumber="1" containsInteger="1" minValue="1" maxValue="3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2">
  <r>
    <s v="Erling Haaland"/>
    <x v="0"/>
    <x v="0"/>
    <n v="14.8"/>
    <n v="102"/>
    <n v="9.3000000000000007"/>
    <n v="70.5"/>
    <n v="14"/>
    <n v="1"/>
    <n v="944"/>
    <n v="6"/>
    <n v="7"/>
    <n v="0"/>
    <n v="23"/>
    <n v="124.1"/>
    <n v="8"/>
    <n v="5"/>
    <n v="0.5"/>
    <n v="6.9"/>
    <n v="11.03"/>
    <n v="0.7"/>
    <n v="11.73"/>
    <n v="10.23"/>
    <n v="11"/>
    <s v="No News"/>
    <n v="1"/>
    <n v="1"/>
    <n v="5"/>
    <n v="1"/>
    <n v="1"/>
    <n v="1"/>
    <n v="1"/>
    <n v="1"/>
  </r>
  <r>
    <s v="Gabriel Gabriel"/>
    <x v="1"/>
    <x v="1"/>
    <n v="6.6"/>
    <n v="81"/>
    <n v="7.4"/>
    <n v="43.5"/>
    <n v="1"/>
    <n v="2"/>
    <n v="990"/>
    <n v="7"/>
    <n v="5"/>
    <n v="0"/>
    <n v="13"/>
    <n v="46.9"/>
    <n v="8.5"/>
    <n v="3"/>
    <n v="1.3"/>
    <n v="12.3"/>
    <n v="0.82"/>
    <n v="0.69"/>
    <n v="1.51"/>
    <n v="6.17"/>
    <n v="11"/>
    <s v="No News"/>
    <n v="52"/>
    <n v="1"/>
    <n v="1"/>
    <n v="1"/>
    <n v="2"/>
    <n v="1"/>
    <n v="4"/>
    <n v="1"/>
  </r>
  <r>
    <s v="Antoine Semenyo"/>
    <x v="2"/>
    <x v="2"/>
    <n v="8.1"/>
    <n v="75"/>
    <n v="6.8"/>
    <n v="64.400000000000006"/>
    <n v="6"/>
    <n v="4"/>
    <n v="990"/>
    <n v="4"/>
    <n v="18"/>
    <n v="0"/>
    <n v="9"/>
    <n v="79.7"/>
    <n v="2.2000000000000002"/>
    <n v="3"/>
    <n v="0.3"/>
    <n v="9.3000000000000007"/>
    <n v="4.63"/>
    <n v="0.46"/>
    <n v="5.09"/>
    <n v="15.05"/>
    <n v="11"/>
    <s v="No News"/>
    <n v="13"/>
    <n v="8"/>
    <n v="181"/>
    <n v="87"/>
    <n v="3"/>
    <n v="1"/>
    <n v="2"/>
    <n v="1"/>
  </r>
  <r>
    <s v="Jurriën J.Timber"/>
    <x v="1"/>
    <x v="1"/>
    <n v="6.1"/>
    <n v="67"/>
    <n v="6.1"/>
    <n v="25.6"/>
    <n v="2"/>
    <n v="2"/>
    <n v="881"/>
    <n v="6"/>
    <n v="5"/>
    <n v="0"/>
    <n v="7"/>
    <n v="63.5"/>
    <n v="4.8"/>
    <n v="2"/>
    <n v="0.8"/>
    <n v="11"/>
    <n v="2.08"/>
    <n v="0.64"/>
    <n v="2.72"/>
    <n v="5.07"/>
    <n v="10"/>
    <s v="No News"/>
    <n v="84"/>
    <n v="3"/>
    <n v="57"/>
    <n v="19"/>
    <n v="6"/>
    <n v="4"/>
    <n v="12"/>
    <n v="5"/>
  </r>
  <r>
    <s v="Declan Rice"/>
    <x v="1"/>
    <x v="2"/>
    <n v="6.8"/>
    <n v="65"/>
    <n v="5.9"/>
    <n v="20.2"/>
    <n v="2"/>
    <n v="4"/>
    <n v="893"/>
    <n v="6"/>
    <n v="5"/>
    <n v="0"/>
    <n v="10"/>
    <n v="69.099999999999994"/>
    <n v="6.2"/>
    <n v="2"/>
    <n v="0.9"/>
    <n v="9.6"/>
    <n v="1.18"/>
    <n v="2.38"/>
    <n v="3.56"/>
    <n v="5.45"/>
    <n v="10"/>
    <s v="No News"/>
    <n v="42"/>
    <n v="26"/>
    <n v="15"/>
    <n v="5"/>
    <n v="9"/>
    <n v="3"/>
    <n v="19"/>
    <n v="6"/>
  </r>
  <r>
    <s v="Marc Guéhi"/>
    <x v="3"/>
    <x v="1"/>
    <n v="5.0999999999999996"/>
    <n v="64"/>
    <n v="6.4"/>
    <n v="35.200000000000003"/>
    <n v="1"/>
    <n v="3"/>
    <n v="900"/>
    <n v="4"/>
    <n v="9"/>
    <n v="0"/>
    <n v="5"/>
    <n v="43.5"/>
    <n v="4.5"/>
    <n v="2"/>
    <n v="0.9"/>
    <n v="12.5"/>
    <n v="0.89"/>
    <n v="1"/>
    <n v="1.89"/>
    <n v="12.5"/>
    <n v="10"/>
    <s v="No News"/>
    <n v="233"/>
    <n v="35"/>
    <n v="63"/>
    <n v="22"/>
    <n v="4"/>
    <n v="2"/>
    <n v="5"/>
    <n v="2"/>
  </r>
  <r>
    <s v="Riccardo Calafiori"/>
    <x v="1"/>
    <x v="1"/>
    <n v="5.8"/>
    <n v="61"/>
    <n v="5.5"/>
    <n v="16.100000000000001"/>
    <n v="1"/>
    <n v="2"/>
    <n v="856"/>
    <n v="7"/>
    <n v="5"/>
    <n v="0"/>
    <n v="3"/>
    <n v="41.9"/>
    <n v="4.8"/>
    <n v="2"/>
    <n v="0.8"/>
    <n v="10.5"/>
    <n v="2.2400000000000002"/>
    <n v="0.25"/>
    <n v="2.4900000000000002"/>
    <n v="4.8"/>
    <n v="11"/>
    <s v="No News"/>
    <n v="114"/>
    <n v="9"/>
    <n v="53"/>
    <n v="18"/>
    <n v="16"/>
    <n v="11"/>
    <n v="25"/>
    <n v="9"/>
  </r>
  <r>
    <s v="Daniel Muñoz"/>
    <x v="3"/>
    <x v="1"/>
    <n v="5.7"/>
    <n v="60"/>
    <n v="5.5"/>
    <n v="15.7"/>
    <n v="1"/>
    <n v="3"/>
    <n v="990"/>
    <n v="5"/>
    <n v="9"/>
    <n v="0"/>
    <n v="2"/>
    <n v="51.2"/>
    <n v="6"/>
    <n v="0"/>
    <n v="1.1000000000000001"/>
    <n v="10.5"/>
    <n v="0.9"/>
    <n v="1.79"/>
    <n v="2.69"/>
    <n v="12.88"/>
    <n v="11"/>
    <s v="No News"/>
    <n v="121"/>
    <n v="11"/>
    <n v="22"/>
    <n v="9"/>
    <n v="15"/>
    <n v="10"/>
    <n v="26"/>
    <n v="10"/>
  </r>
  <r>
    <s v="Igor Thiago Thiago"/>
    <x v="4"/>
    <x v="0"/>
    <n v="6.3"/>
    <n v="60"/>
    <n v="5.5"/>
    <n v="9.4"/>
    <n v="8"/>
    <n v="0"/>
    <n v="921"/>
    <n v="2"/>
    <n v="16"/>
    <n v="0"/>
    <n v="9"/>
    <n v="80"/>
    <n v="7"/>
    <n v="2"/>
    <n v="1.1000000000000001"/>
    <n v="9.5"/>
    <n v="5.85"/>
    <n v="0.23"/>
    <n v="6.08"/>
    <n v="12.91"/>
    <n v="11"/>
    <s v="No News"/>
    <n v="76"/>
    <n v="24"/>
    <n v="8"/>
    <n v="3"/>
    <n v="18"/>
    <n v="2"/>
    <n v="42"/>
    <n v="7"/>
  </r>
  <r>
    <s v="Moisés Caicedo"/>
    <x v="5"/>
    <x v="2"/>
    <n v="6"/>
    <n v="60"/>
    <n v="5.5"/>
    <n v="23"/>
    <n v="3"/>
    <n v="1"/>
    <n v="945"/>
    <n v="4"/>
    <n v="11"/>
    <n v="0"/>
    <n v="9"/>
    <n v="49.7"/>
    <n v="3.8"/>
    <n v="1"/>
    <n v="0.6"/>
    <n v="10"/>
    <n v="0.56999999999999995"/>
    <n v="0.73"/>
    <n v="1.3"/>
    <n v="13.31"/>
    <n v="10"/>
    <s v="No News"/>
    <n v="89"/>
    <n v="58"/>
    <n v="96"/>
    <n v="45"/>
    <n v="17"/>
    <n v="5"/>
    <n v="15"/>
    <n v="4"/>
  </r>
  <r>
    <s v="Bryan Mbeumo"/>
    <x v="6"/>
    <x v="2"/>
    <n v="8.4"/>
    <n v="60"/>
    <n v="5.5"/>
    <n v="31.3"/>
    <n v="5"/>
    <n v="1"/>
    <n v="955"/>
    <n v="2"/>
    <n v="17"/>
    <n v="0"/>
    <n v="8"/>
    <n v="95.5"/>
    <n v="8.1999999999999993"/>
    <n v="1"/>
    <n v="1"/>
    <n v="7.1"/>
    <n v="3.2"/>
    <n v="2.5299999999999998"/>
    <n v="5.73"/>
    <n v="16.079999999999998"/>
    <n v="11"/>
    <s v="No News"/>
    <n v="11"/>
    <n v="6"/>
    <n v="2"/>
    <n v="1"/>
    <n v="19"/>
    <n v="6"/>
    <n v="9"/>
    <n v="2"/>
  </r>
  <r>
    <s v="João Pedro João Pedro"/>
    <x v="5"/>
    <x v="0"/>
    <n v="7.5"/>
    <n v="59"/>
    <n v="5.4"/>
    <n v="48.3"/>
    <n v="4"/>
    <n v="3"/>
    <n v="929"/>
    <n v="5"/>
    <n v="9"/>
    <n v="0"/>
    <n v="12"/>
    <n v="76.400000000000006"/>
    <n v="5"/>
    <n v="3"/>
    <n v="0.7"/>
    <n v="7.9"/>
    <n v="3.84"/>
    <n v="0.69"/>
    <n v="4.53"/>
    <n v="12.39"/>
    <n v="11"/>
    <s v="No News"/>
    <n v="23"/>
    <n v="8"/>
    <n v="46"/>
    <n v="7"/>
    <n v="22"/>
    <n v="3"/>
    <n v="3"/>
    <n v="2"/>
  </r>
  <r>
    <s v="Micky Van de Ven"/>
    <x v="7"/>
    <x v="1"/>
    <n v="4.8"/>
    <n v="58"/>
    <n v="5.3"/>
    <n v="33.4"/>
    <n v="3"/>
    <n v="0"/>
    <n v="979"/>
    <n v="4"/>
    <n v="10"/>
    <n v="0"/>
    <n v="5"/>
    <n v="40.799999999999997"/>
    <n v="6.5"/>
    <n v="2"/>
    <n v="1.4"/>
    <n v="12.1"/>
    <n v="1.86"/>
    <n v="0.26"/>
    <n v="2.12"/>
    <n v="14.99"/>
    <n v="11"/>
    <s v="No News"/>
    <n v="371"/>
    <n v="64"/>
    <n v="13"/>
    <n v="5"/>
    <n v="23"/>
    <n v="14"/>
    <n v="7"/>
    <n v="3"/>
  </r>
  <r>
    <s v="Marcos Senesi"/>
    <x v="2"/>
    <x v="1"/>
    <n v="5"/>
    <n v="58"/>
    <n v="5.3"/>
    <n v="25.9"/>
    <n v="0"/>
    <n v="2"/>
    <n v="977"/>
    <n v="4"/>
    <n v="18"/>
    <n v="0"/>
    <n v="6"/>
    <n v="47.3"/>
    <n v="3"/>
    <n v="1"/>
    <n v="0.6"/>
    <n v="11.6"/>
    <n v="0.16"/>
    <n v="1.51"/>
    <n v="1.67"/>
    <n v="14.77"/>
    <n v="11"/>
    <s v="No News"/>
    <n v="257"/>
    <n v="38"/>
    <n v="125"/>
    <n v="46"/>
    <n v="24"/>
    <n v="15"/>
    <n v="11"/>
    <n v="4"/>
  </r>
  <r>
    <s v="Robin Roefs"/>
    <x v="8"/>
    <x v="3"/>
    <n v="4.7"/>
    <n v="56"/>
    <n v="5.0999999999999996"/>
    <n v="7.2"/>
    <n v="0"/>
    <n v="0"/>
    <n v="990"/>
    <n v="4"/>
    <n v="10"/>
    <n v="39"/>
    <n v="6"/>
    <n v="34.299999999999997"/>
    <n v="3.8"/>
    <n v="2"/>
    <n v="0.8"/>
    <n v="11.9"/>
    <n v="0"/>
    <n v="0.01"/>
    <n v="0.01"/>
    <n v="13.26"/>
    <n v="11"/>
    <s v="No News"/>
    <n v="382"/>
    <n v="19"/>
    <n v="91"/>
    <n v="9"/>
    <n v="26"/>
    <n v="1"/>
    <n v="53"/>
    <n v="11"/>
  </r>
  <r>
    <s v="Michael Keane"/>
    <x v="9"/>
    <x v="1"/>
    <n v="4.5"/>
    <n v="56"/>
    <n v="5.0999999999999996"/>
    <n v="1.2"/>
    <n v="2"/>
    <n v="0"/>
    <n v="964"/>
    <n v="3"/>
    <n v="13"/>
    <n v="0"/>
    <n v="4"/>
    <n v="41.8"/>
    <n v="5.2"/>
    <n v="1"/>
    <n v="1.2"/>
    <n v="12.4"/>
    <n v="0.99"/>
    <n v="0.12"/>
    <n v="1.1100000000000001"/>
    <n v="15.5"/>
    <n v="11"/>
    <s v="No News"/>
    <n v="396"/>
    <n v="72"/>
    <n v="33"/>
    <n v="13"/>
    <n v="25"/>
    <n v="16"/>
    <n v="162"/>
    <n v="61"/>
  </r>
  <r>
    <s v="Maxence Lacroix"/>
    <x v="3"/>
    <x v="1"/>
    <n v="5"/>
    <n v="56"/>
    <n v="5.0999999999999996"/>
    <n v="3.8"/>
    <n v="0"/>
    <n v="1"/>
    <n v="990"/>
    <n v="5"/>
    <n v="9"/>
    <n v="0"/>
    <n v="2"/>
    <n v="32.299999999999997"/>
    <n v="4.8"/>
    <n v="1"/>
    <n v="1"/>
    <n v="11.2"/>
    <n v="0.49"/>
    <n v="0.18"/>
    <n v="0.67"/>
    <n v="12.88"/>
    <n v="11"/>
    <s v="No News"/>
    <n v="267"/>
    <n v="41"/>
    <n v="50"/>
    <n v="17"/>
    <n v="28"/>
    <n v="18"/>
    <n v="89"/>
    <n v="31"/>
  </r>
  <r>
    <s v="Tyrick Mitchell"/>
    <x v="3"/>
    <x v="1"/>
    <n v="5"/>
    <n v="55"/>
    <n v="5"/>
    <n v="2.2000000000000002"/>
    <n v="1"/>
    <n v="0"/>
    <n v="990"/>
    <n v="5"/>
    <n v="9"/>
    <n v="0"/>
    <n v="5"/>
    <n v="48"/>
    <n v="5"/>
    <n v="1"/>
    <n v="1"/>
    <n v="11"/>
    <n v="0.39"/>
    <n v="0.78"/>
    <n v="1.17"/>
    <n v="12.88"/>
    <n v="11"/>
    <s v="No News"/>
    <n v="264"/>
    <n v="40"/>
    <n v="40"/>
    <n v="14"/>
    <n v="30"/>
    <n v="19"/>
    <n v="119"/>
    <n v="46"/>
  </r>
  <r>
    <s v="Iliman Ndiaye"/>
    <x v="9"/>
    <x v="2"/>
    <n v="6.6"/>
    <n v="55"/>
    <n v="5"/>
    <n v="11.9"/>
    <n v="4"/>
    <n v="1"/>
    <n v="914"/>
    <n v="3"/>
    <n v="13"/>
    <n v="0"/>
    <n v="3"/>
    <n v="67.5"/>
    <n v="4.5"/>
    <n v="0"/>
    <n v="0.7"/>
    <n v="8.3000000000000007"/>
    <n v="2.62"/>
    <n v="2.4"/>
    <n v="5.0199999999999996"/>
    <n v="12.95"/>
    <n v="11"/>
    <s v="No News"/>
    <n v="54"/>
    <n v="37"/>
    <n v="66"/>
    <n v="32"/>
    <n v="33"/>
    <n v="9"/>
    <n v="35"/>
    <n v="15"/>
  </r>
  <r>
    <s v="Trevoh Chalobah"/>
    <x v="5"/>
    <x v="1"/>
    <n v="5.0999999999999996"/>
    <n v="55"/>
    <n v="5.5"/>
    <n v="8"/>
    <n v="2"/>
    <n v="1"/>
    <n v="840"/>
    <n v="5"/>
    <n v="10"/>
    <n v="0"/>
    <n v="2"/>
    <n v="39.1"/>
    <n v="5"/>
    <n v="1"/>
    <n v="1"/>
    <n v="10.8"/>
    <n v="0.77"/>
    <n v="0.57999999999999996"/>
    <n v="1.35"/>
    <n v="9.3000000000000007"/>
    <n v="10"/>
    <s v="No News"/>
    <n v="231"/>
    <n v="34"/>
    <n v="42"/>
    <n v="15"/>
    <n v="14"/>
    <n v="9"/>
    <n v="48"/>
    <n v="16"/>
  </r>
  <r>
    <s v="Mohamed M.Salah"/>
    <x v="10"/>
    <x v="2"/>
    <n v="14.2"/>
    <n v="54"/>
    <n v="4.9000000000000004"/>
    <n v="24.2"/>
    <n v="4"/>
    <n v="2"/>
    <n v="984"/>
    <n v="3"/>
    <n v="17"/>
    <n v="0"/>
    <n v="4"/>
    <n v="83.8"/>
    <n v="5"/>
    <n v="0"/>
    <n v="0.4"/>
    <n v="3.8"/>
    <n v="3.72"/>
    <n v="1.49"/>
    <n v="5.21"/>
    <n v="13.54"/>
    <n v="11"/>
    <s v="No News"/>
    <n v="2"/>
    <n v="1"/>
    <n v="47"/>
    <n v="24"/>
    <n v="37"/>
    <n v="11"/>
    <n v="13"/>
    <n v="3"/>
  </r>
  <r>
    <s v="Josh Cullen"/>
    <x v="11"/>
    <x v="2"/>
    <n v="5"/>
    <n v="53"/>
    <n v="4.8"/>
    <n v="2.2999999999999998"/>
    <n v="2"/>
    <n v="1"/>
    <n v="941"/>
    <n v="3"/>
    <n v="19"/>
    <n v="0"/>
    <n v="8"/>
    <n v="50.3"/>
    <n v="4"/>
    <n v="1"/>
    <n v="0.8"/>
    <n v="10.6"/>
    <n v="0.65"/>
    <n v="0.73"/>
    <n v="1.38"/>
    <n v="22.19"/>
    <n v="11"/>
    <s v="No News"/>
    <n v="245"/>
    <n v="153"/>
    <n v="77"/>
    <n v="37"/>
    <n v="38"/>
    <n v="12"/>
    <n v="117"/>
    <n v="40"/>
  </r>
  <r>
    <s v="David Raya"/>
    <x v="1"/>
    <x v="3"/>
    <n v="5.9"/>
    <n v="53"/>
    <n v="4.8"/>
    <n v="32.299999999999997"/>
    <n v="0"/>
    <n v="0"/>
    <n v="990"/>
    <n v="7"/>
    <n v="5"/>
    <n v="16"/>
    <n v="3"/>
    <n v="17"/>
    <n v="4.8"/>
    <n v="1"/>
    <n v="0.8"/>
    <n v="9"/>
    <n v="0"/>
    <n v="0.04"/>
    <n v="0.04"/>
    <n v="6.17"/>
    <n v="11"/>
    <s v="No News"/>
    <n v="94"/>
    <n v="1"/>
    <n v="54"/>
    <n v="2"/>
    <n v="39"/>
    <n v="2"/>
    <n v="8"/>
    <n v="2"/>
  </r>
  <r>
    <s v="Granit Xhaka"/>
    <x v="8"/>
    <x v="2"/>
    <n v="5.0999999999999996"/>
    <n v="52"/>
    <n v="4.7"/>
    <n v="5.9"/>
    <n v="1"/>
    <n v="3"/>
    <n v="990"/>
    <n v="4"/>
    <n v="10"/>
    <n v="0"/>
    <n v="4"/>
    <n v="58.1"/>
    <n v="5"/>
    <n v="0"/>
    <n v="1"/>
    <n v="10.199999999999999"/>
    <n v="0.36"/>
    <n v="1.1299999999999999"/>
    <n v="1.49"/>
    <n v="13.26"/>
    <n v="11"/>
    <s v="No News"/>
    <n v="230"/>
    <n v="143"/>
    <n v="41"/>
    <n v="20"/>
    <n v="43"/>
    <n v="14"/>
    <n v="61"/>
    <n v="19"/>
  </r>
  <r>
    <s v="Chris Richards"/>
    <x v="3"/>
    <x v="1"/>
    <n v="4.5"/>
    <n v="52"/>
    <n v="4.7"/>
    <n v="3.3"/>
    <n v="0"/>
    <n v="0"/>
    <n v="990"/>
    <n v="5"/>
    <n v="9"/>
    <n v="0"/>
    <n v="0"/>
    <n v="35.5"/>
    <n v="4.8"/>
    <n v="0"/>
    <n v="1.1000000000000001"/>
    <n v="11.6"/>
    <n v="0.39"/>
    <n v="1.02"/>
    <n v="1.41"/>
    <n v="12.88"/>
    <n v="11"/>
    <s v="No News"/>
    <n v="418"/>
    <n v="86"/>
    <n v="48"/>
    <n v="16"/>
    <n v="41"/>
    <n v="22"/>
    <n v="95"/>
    <n v="34"/>
  </r>
  <r>
    <s v="Matty Cash"/>
    <x v="12"/>
    <x v="1"/>
    <n v="4.5999999999999996"/>
    <n v="52"/>
    <n v="4.7"/>
    <n v="5.4"/>
    <n v="2"/>
    <n v="0"/>
    <n v="966"/>
    <n v="4"/>
    <n v="9"/>
    <n v="0"/>
    <n v="5"/>
    <n v="43.1"/>
    <n v="5.8"/>
    <n v="2"/>
    <n v="1.3"/>
    <n v="11.3"/>
    <n v="0.22"/>
    <n v="0.71"/>
    <n v="0.93"/>
    <n v="13.58"/>
    <n v="11"/>
    <s v="No News"/>
    <n v="388"/>
    <n v="68"/>
    <n v="23"/>
    <n v="10"/>
    <n v="42"/>
    <n v="23"/>
    <n v="67"/>
    <n v="21"/>
  </r>
  <r>
    <s v="Nick Pope"/>
    <x v="13"/>
    <x v="3"/>
    <n v="5.2"/>
    <n v="52"/>
    <n v="4.7"/>
    <n v="11.9"/>
    <n v="0"/>
    <n v="1"/>
    <n v="976"/>
    <n v="5"/>
    <n v="12"/>
    <n v="36"/>
    <n v="3"/>
    <n v="28.4"/>
    <n v="2.8"/>
    <n v="1"/>
    <n v="0.5"/>
    <n v="10"/>
    <n v="0"/>
    <n v="0"/>
    <n v="0"/>
    <n v="9.99"/>
    <n v="11"/>
    <s v="No News"/>
    <n v="212"/>
    <n v="6"/>
    <n v="142"/>
    <n v="15"/>
    <n v="44"/>
    <n v="3"/>
    <n v="36"/>
    <n v="4"/>
  </r>
  <r>
    <s v="Pedro Neto"/>
    <x v="5"/>
    <x v="2"/>
    <n v="7.1"/>
    <n v="52"/>
    <n v="4.7"/>
    <n v="6"/>
    <n v="3"/>
    <n v="2"/>
    <n v="829"/>
    <n v="5"/>
    <n v="6"/>
    <n v="0"/>
    <n v="5"/>
    <n v="65.900000000000006"/>
    <n v="8"/>
    <n v="1"/>
    <n v="1.1000000000000001"/>
    <n v="7.3"/>
    <n v="2.06"/>
    <n v="2.21"/>
    <n v="4.2699999999999996"/>
    <n v="9.1999999999999993"/>
    <n v="11"/>
    <s v="Groin Injury - 75% chance of playing"/>
    <n v="32"/>
    <n v="18"/>
    <n v="4"/>
    <n v="3"/>
    <n v="47"/>
    <n v="17"/>
    <n v="60"/>
    <n v="18"/>
  </r>
  <r>
    <s v="Ryan Gravenberch"/>
    <x v="10"/>
    <x v="2"/>
    <n v="5.6"/>
    <n v="52"/>
    <n v="5.8"/>
    <n v="4.5999999999999996"/>
    <n v="3"/>
    <n v="2"/>
    <n v="781"/>
    <n v="3"/>
    <n v="11"/>
    <n v="0"/>
    <n v="10"/>
    <n v="42.1"/>
    <n v="3.8"/>
    <n v="2"/>
    <n v="0.7"/>
    <n v="9.3000000000000007"/>
    <n v="0.56000000000000005"/>
    <n v="0.57999999999999996"/>
    <n v="1.1399999999999999"/>
    <n v="8.8800000000000008"/>
    <n v="9"/>
    <s v="No News"/>
    <n v="132"/>
    <n v="84"/>
    <n v="95"/>
    <n v="44"/>
    <n v="10"/>
    <n v="4"/>
    <n v="80"/>
    <n v="25"/>
  </r>
  <r>
    <s v="Nordi Mukiele"/>
    <x v="8"/>
    <x v="1"/>
    <n v="4.2"/>
    <n v="51"/>
    <n v="5.7"/>
    <n v="5.7"/>
    <n v="1"/>
    <n v="1"/>
    <n v="810"/>
    <n v="3"/>
    <n v="8"/>
    <n v="0"/>
    <n v="5"/>
    <n v="37"/>
    <n v="6"/>
    <n v="2"/>
    <n v="1.4"/>
    <n v="12.1"/>
    <n v="0.56000000000000005"/>
    <n v="0.67"/>
    <n v="1.23"/>
    <n v="11.7"/>
    <n v="9"/>
    <s v="No News"/>
    <n v="611"/>
    <n v="157"/>
    <n v="17"/>
    <n v="6"/>
    <n v="11"/>
    <n v="6"/>
    <n v="62"/>
    <n v="19"/>
  </r>
  <r>
    <s v="Nico O’Reilly"/>
    <x v="0"/>
    <x v="1"/>
    <n v="4.9000000000000004"/>
    <n v="51"/>
    <n v="5.0999999999999996"/>
    <n v="1.4"/>
    <n v="1"/>
    <n v="2"/>
    <n v="683"/>
    <n v="5"/>
    <n v="3"/>
    <n v="0"/>
    <n v="2"/>
    <n v="41.8"/>
    <n v="7.8"/>
    <n v="0"/>
    <n v="1.6"/>
    <n v="10.4"/>
    <n v="0.92"/>
    <n v="0.61"/>
    <n v="1.53"/>
    <n v="7.5"/>
    <n v="7"/>
    <s v="No News"/>
    <n v="331"/>
    <n v="55"/>
    <n v="6"/>
    <n v="2"/>
    <n v="27"/>
    <n v="17"/>
    <n v="155"/>
    <n v="59"/>
  </r>
  <r>
    <s v="João Maria J.Palhinha"/>
    <x v="7"/>
    <x v="2"/>
    <n v="5.5"/>
    <n v="51"/>
    <n v="4.5999999999999996"/>
    <n v="1.8"/>
    <n v="2"/>
    <n v="1"/>
    <n v="861"/>
    <n v="3"/>
    <n v="9"/>
    <n v="0"/>
    <n v="8"/>
    <n v="38.299999999999997"/>
    <n v="5.2"/>
    <n v="0"/>
    <n v="0.9"/>
    <n v="9.3000000000000007"/>
    <n v="0.66"/>
    <n v="0.33"/>
    <n v="0.99"/>
    <n v="13.63"/>
    <n v="10"/>
    <s v="No News"/>
    <n v="136"/>
    <n v="87"/>
    <n v="38"/>
    <n v="18"/>
    <n v="48"/>
    <n v="18"/>
    <n v="134"/>
    <n v="47"/>
  </r>
  <r>
    <s v="Bruno Bruno G."/>
    <x v="13"/>
    <x v="2"/>
    <n v="6.6"/>
    <n v="50"/>
    <n v="5"/>
    <n v="3.7"/>
    <n v="3"/>
    <n v="2"/>
    <n v="895"/>
    <n v="4"/>
    <n v="14"/>
    <n v="0"/>
    <n v="6"/>
    <n v="56"/>
    <n v="5"/>
    <n v="1"/>
    <n v="0.8"/>
    <n v="7.6"/>
    <n v="1.56"/>
    <n v="0.98"/>
    <n v="2.54"/>
    <n v="10.61"/>
    <n v="10"/>
    <s v="No News"/>
    <n v="51"/>
    <n v="35"/>
    <n v="45"/>
    <n v="23"/>
    <n v="32"/>
    <n v="8"/>
    <n v="90"/>
    <n v="29"/>
  </r>
  <r>
    <s v="Bruno B.Fernandes"/>
    <x v="6"/>
    <x v="2"/>
    <n v="8.9"/>
    <n v="50"/>
    <n v="4.5"/>
    <n v="16.2"/>
    <n v="2"/>
    <n v="3"/>
    <n v="980"/>
    <n v="1"/>
    <n v="18"/>
    <n v="0"/>
    <n v="8"/>
    <n v="92.2"/>
    <n v="5.5"/>
    <n v="1"/>
    <n v="0.6"/>
    <n v="5.6"/>
    <n v="4.5999999999999996"/>
    <n v="1.82"/>
    <n v="6.42"/>
    <n v="16.25"/>
    <n v="11"/>
    <s v="No News"/>
    <n v="6"/>
    <n v="4"/>
    <n v="31"/>
    <n v="15"/>
    <n v="54"/>
    <n v="22"/>
    <n v="24"/>
    <n v="10"/>
  </r>
  <r>
    <s v="Jean-Philippe Mateta"/>
    <x v="3"/>
    <x v="0"/>
    <n v="8"/>
    <n v="50"/>
    <n v="4.5"/>
    <n v="28.5"/>
    <n v="6"/>
    <n v="0"/>
    <n v="959"/>
    <n v="6"/>
    <n v="7"/>
    <n v="0"/>
    <n v="6"/>
    <n v="75.3"/>
    <n v="7.5"/>
    <n v="1"/>
    <n v="0.9"/>
    <n v="6.2"/>
    <n v="8.18"/>
    <n v="0.62"/>
    <n v="8.8000000000000007"/>
    <n v="11.01"/>
    <n v="11"/>
    <s v="No News"/>
    <n v="15"/>
    <n v="6"/>
    <n v="7"/>
    <n v="2"/>
    <n v="53"/>
    <n v="5"/>
    <n v="10"/>
    <n v="3"/>
  </r>
  <r>
    <s v="Yankuba Minteh"/>
    <x v="14"/>
    <x v="2"/>
    <n v="6"/>
    <n v="50"/>
    <n v="4.5"/>
    <n v="4.7"/>
    <n v="1"/>
    <n v="5"/>
    <n v="949"/>
    <n v="3"/>
    <n v="13"/>
    <n v="0"/>
    <n v="3"/>
    <n v="68.900000000000006"/>
    <n v="4.8"/>
    <n v="0"/>
    <n v="0.8"/>
    <n v="8.3000000000000007"/>
    <n v="2.13"/>
    <n v="1.72"/>
    <n v="3.85"/>
    <n v="12.76"/>
    <n v="11"/>
    <s v="No News"/>
    <n v="91"/>
    <n v="60"/>
    <n v="55"/>
    <n v="28"/>
    <n v="50"/>
    <n v="20"/>
    <n v="75"/>
    <n v="23"/>
  </r>
  <r>
    <s v="Jaidon Anthony"/>
    <x v="11"/>
    <x v="2"/>
    <n v="5.7"/>
    <n v="49"/>
    <n v="4.5"/>
    <n v="5.6"/>
    <n v="4"/>
    <n v="1"/>
    <n v="886"/>
    <n v="3"/>
    <n v="17"/>
    <n v="0"/>
    <n v="5"/>
    <n v="59.8"/>
    <n v="2"/>
    <n v="2"/>
    <n v="0.4"/>
    <n v="8.6"/>
    <n v="2.27"/>
    <n v="1.19"/>
    <n v="3.46"/>
    <n v="20.66"/>
    <n v="11"/>
    <s v="No News"/>
    <n v="122"/>
    <n v="79"/>
    <n v="191"/>
    <n v="93"/>
    <n v="49"/>
    <n v="19"/>
    <n v="65"/>
    <n v="20"/>
  </r>
  <r>
    <s v="Marc Cucurella"/>
    <x v="5"/>
    <x v="1"/>
    <n v="6.1"/>
    <n v="49"/>
    <n v="4.5"/>
    <n v="22"/>
    <n v="0"/>
    <n v="2"/>
    <n v="896"/>
    <n v="5"/>
    <n v="10"/>
    <n v="0"/>
    <n v="5"/>
    <n v="48.6"/>
    <n v="5.5"/>
    <n v="0"/>
    <n v="0.9"/>
    <n v="8"/>
    <n v="0.44"/>
    <n v="1.39"/>
    <n v="1.83"/>
    <n v="12.45"/>
    <n v="10"/>
    <s v="No News"/>
    <n v="83"/>
    <n v="2"/>
    <n v="28"/>
    <n v="11"/>
    <n v="51"/>
    <n v="24"/>
    <n v="18"/>
    <n v="7"/>
  </r>
  <r>
    <s v="Daniel Ballard"/>
    <x v="8"/>
    <x v="1"/>
    <n v="4.5999999999999996"/>
    <n v="49"/>
    <n v="5.4"/>
    <n v="2.6"/>
    <n v="2"/>
    <n v="1"/>
    <n v="579"/>
    <n v="2"/>
    <n v="5"/>
    <n v="0"/>
    <n v="5"/>
    <n v="48.4"/>
    <n v="6.5"/>
    <n v="1"/>
    <n v="1.4"/>
    <n v="10.7"/>
    <n v="0.97"/>
    <n v="0.35"/>
    <n v="1.32"/>
    <n v="6.74"/>
    <n v="6"/>
    <s v="No News"/>
    <n v="389"/>
    <n v="69"/>
    <n v="12"/>
    <n v="4"/>
    <n v="21"/>
    <n v="13"/>
    <n v="111"/>
    <n v="41"/>
  </r>
  <r>
    <s v="Martín Zubimendi"/>
    <x v="1"/>
    <x v="2"/>
    <n v="5.4"/>
    <n v="48"/>
    <n v="4.4000000000000004"/>
    <n v="2.9"/>
    <n v="2"/>
    <n v="1"/>
    <n v="937"/>
    <n v="7"/>
    <n v="5"/>
    <n v="0"/>
    <n v="4"/>
    <n v="45.7"/>
    <n v="4"/>
    <n v="1"/>
    <n v="0.7"/>
    <n v="8.9"/>
    <n v="0.54"/>
    <n v="1"/>
    <n v="1.54"/>
    <n v="5.7"/>
    <n v="10"/>
    <s v="No News"/>
    <n v="178"/>
    <n v="110"/>
    <n v="80"/>
    <n v="40"/>
    <n v="57"/>
    <n v="23"/>
    <n v="103"/>
    <n v="35"/>
  </r>
  <r>
    <s v="Dan Burn"/>
    <x v="13"/>
    <x v="1"/>
    <n v="5.2"/>
    <n v="48"/>
    <n v="4.4000000000000004"/>
    <n v="10"/>
    <n v="0"/>
    <n v="1"/>
    <n v="972"/>
    <n v="5"/>
    <n v="14"/>
    <n v="0"/>
    <n v="4"/>
    <n v="26.9"/>
    <n v="1.2"/>
    <n v="1"/>
    <n v="0.2"/>
    <n v="9.1999999999999993"/>
    <n v="0.05"/>
    <n v="0.23"/>
    <n v="0.28000000000000003"/>
    <n v="9.99"/>
    <n v="11"/>
    <s v="No News"/>
    <n v="211"/>
    <n v="30"/>
    <n v="253"/>
    <n v="86"/>
    <n v="56"/>
    <n v="25"/>
    <n v="38"/>
    <n v="13"/>
  </r>
  <r>
    <s v="Enzo Enzo"/>
    <x v="5"/>
    <x v="2"/>
    <n v="6.7"/>
    <n v="48"/>
    <n v="4.8"/>
    <n v="14.7"/>
    <n v="3"/>
    <n v="2"/>
    <n v="880"/>
    <n v="4"/>
    <n v="11"/>
    <n v="0"/>
    <n v="3"/>
    <n v="76.900000000000006"/>
    <n v="1.8"/>
    <n v="1"/>
    <n v="0.3"/>
    <n v="7.2"/>
    <n v="4.5999999999999996"/>
    <n v="1.63"/>
    <n v="6.23"/>
    <n v="11.3"/>
    <n v="10"/>
    <s v="Knee injury - 75% chance of playing"/>
    <n v="48"/>
    <n v="32"/>
    <n v="218"/>
    <n v="109"/>
    <n v="40"/>
    <n v="13"/>
    <n v="28"/>
    <n v="11"/>
  </r>
  <r>
    <s v="Carlos Henrique Casemiro"/>
    <x v="6"/>
    <x v="2"/>
    <n v="5.5"/>
    <n v="47"/>
    <n v="4.7"/>
    <n v="1"/>
    <n v="3"/>
    <n v="2"/>
    <n v="617"/>
    <n v="3"/>
    <n v="6"/>
    <n v="0"/>
    <n v="5"/>
    <n v="40"/>
    <n v="8"/>
    <n v="2"/>
    <n v="1.5"/>
    <n v="8.5"/>
    <n v="1.28"/>
    <n v="0.39"/>
    <n v="1.67"/>
    <n v="7.86"/>
    <n v="9"/>
    <s v="Knock - 75% chance of playing"/>
    <n v="133"/>
    <n v="85"/>
    <n v="3"/>
    <n v="2"/>
    <n v="46"/>
    <n v="16"/>
    <n v="176"/>
    <n v="61"/>
  </r>
  <r>
    <s v="Marcus Tavernier"/>
    <x v="2"/>
    <x v="2"/>
    <n v="5.5"/>
    <n v="47"/>
    <n v="4.3"/>
    <n v="1.7"/>
    <n v="2"/>
    <n v="1"/>
    <n v="856"/>
    <n v="5"/>
    <n v="14"/>
    <n v="0"/>
    <n v="6"/>
    <n v="55.7"/>
    <n v="5"/>
    <n v="2"/>
    <n v="0.9"/>
    <n v="8.5"/>
    <n v="1.32"/>
    <n v="1.44"/>
    <n v="2.76"/>
    <n v="11.44"/>
    <n v="10"/>
    <s v="No News"/>
    <n v="140"/>
    <n v="89"/>
    <n v="43"/>
    <n v="21"/>
    <n v="62"/>
    <n v="26"/>
    <n v="136"/>
    <n v="48"/>
  </r>
  <r>
    <s v="Ryan Sessegnon"/>
    <x v="15"/>
    <x v="2"/>
    <n v="5.4"/>
    <n v="47"/>
    <n v="4.7"/>
    <n v="0.6"/>
    <n v="2"/>
    <n v="2"/>
    <n v="836"/>
    <n v="2"/>
    <n v="15"/>
    <n v="0"/>
    <n v="5"/>
    <n v="39"/>
    <n v="6"/>
    <n v="1"/>
    <n v="1.1000000000000001"/>
    <n v="8.6999999999999993"/>
    <n v="0.67"/>
    <n v="0.73"/>
    <n v="1.4"/>
    <n v="13.06"/>
    <n v="10"/>
    <s v="No News"/>
    <n v="163"/>
    <n v="101"/>
    <n v="21"/>
    <n v="8"/>
    <n v="45"/>
    <n v="15"/>
    <n v="213"/>
    <n v="73"/>
  </r>
  <r>
    <s v="Guglielmo Vicario"/>
    <x v="7"/>
    <x v="3"/>
    <n v="5"/>
    <n v="47"/>
    <n v="4.3"/>
    <n v="9.8000000000000007"/>
    <n v="0"/>
    <n v="0"/>
    <n v="990"/>
    <n v="4"/>
    <n v="10"/>
    <n v="34"/>
    <n v="5"/>
    <n v="28.7"/>
    <n v="3"/>
    <n v="0"/>
    <n v="0.6"/>
    <n v="9.4"/>
    <n v="0"/>
    <n v="0.01"/>
    <n v="0.01"/>
    <n v="14.99"/>
    <n v="11"/>
    <s v="No News"/>
    <n v="249"/>
    <n v="10"/>
    <n v="123"/>
    <n v="12"/>
    <n v="60"/>
    <n v="5"/>
    <n v="40"/>
    <n v="6"/>
  </r>
  <r>
    <s v="Reece James"/>
    <x v="5"/>
    <x v="1"/>
    <n v="5.6"/>
    <n v="46"/>
    <n v="4.2"/>
    <n v="8.6"/>
    <n v="1"/>
    <n v="3"/>
    <n v="706"/>
    <n v="3"/>
    <n v="9"/>
    <n v="0"/>
    <n v="4"/>
    <n v="47.4"/>
    <n v="6.8"/>
    <n v="1"/>
    <n v="1.2"/>
    <n v="8.1999999999999993"/>
    <n v="0.48"/>
    <n v="1.49"/>
    <n v="1.97"/>
    <n v="12.57"/>
    <n v="7"/>
    <s v="No News"/>
    <n v="129"/>
    <n v="13"/>
    <n v="10"/>
    <n v="3"/>
    <n v="67"/>
    <n v="30"/>
    <n v="45"/>
    <n v="14"/>
  </r>
  <r>
    <s v="Pedro Pedro Porro"/>
    <x v="7"/>
    <x v="1"/>
    <n v="5.5"/>
    <n v="46"/>
    <n v="4.2"/>
    <n v="17.5"/>
    <n v="0"/>
    <n v="2"/>
    <n v="863"/>
    <n v="4"/>
    <n v="8"/>
    <n v="0"/>
    <n v="2"/>
    <n v="41.3"/>
    <n v="4"/>
    <n v="1"/>
    <n v="0.7"/>
    <n v="8.4"/>
    <n v="0.11"/>
    <n v="1.24"/>
    <n v="1.35"/>
    <n v="12.19"/>
    <n v="10"/>
    <s v="No News"/>
    <n v="145"/>
    <n v="15"/>
    <n v="81"/>
    <n v="29"/>
    <n v="66"/>
    <n v="29"/>
    <n v="21"/>
    <n v="8"/>
  </r>
  <r>
    <s v="Jarrod Bowen"/>
    <x v="16"/>
    <x v="0"/>
    <n v="7.7"/>
    <n v="46"/>
    <n v="4.2"/>
    <n v="7.6"/>
    <n v="3"/>
    <n v="1"/>
    <n v="990"/>
    <n v="1"/>
    <n v="23"/>
    <n v="0"/>
    <n v="9"/>
    <n v="69.599999999999994"/>
    <n v="2.8"/>
    <n v="0"/>
    <n v="0.4"/>
    <n v="6"/>
    <n v="1.41"/>
    <n v="1.26"/>
    <n v="2.67"/>
    <n v="16.63"/>
    <n v="11"/>
    <s v="No News"/>
    <n v="20"/>
    <n v="7"/>
    <n v="145"/>
    <n v="15"/>
    <n v="69"/>
    <n v="6"/>
    <n v="51"/>
    <n v="10"/>
  </r>
  <r>
    <s v="Ismaïla Sarr"/>
    <x v="3"/>
    <x v="2"/>
    <n v="6.7"/>
    <n v="46"/>
    <n v="5.0999999999999996"/>
    <n v="12.9"/>
    <n v="3"/>
    <n v="1"/>
    <n v="792"/>
    <n v="5"/>
    <n v="6"/>
    <n v="0"/>
    <n v="6"/>
    <n v="46.7"/>
    <n v="2.5"/>
    <n v="1"/>
    <n v="0.4"/>
    <n v="6.9"/>
    <n v="3.72"/>
    <n v="0.43"/>
    <n v="4.1500000000000004"/>
    <n v="10.48"/>
    <n v="9"/>
    <s v="No News"/>
    <n v="46"/>
    <n v="30"/>
    <n v="162"/>
    <n v="71"/>
    <n v="29"/>
    <n v="7"/>
    <n v="33"/>
    <n v="14"/>
  </r>
  <r>
    <s v="Cody Gakpo"/>
    <x v="10"/>
    <x v="2"/>
    <n v="7.6"/>
    <n v="46"/>
    <n v="4.2"/>
    <n v="13.2"/>
    <n v="3"/>
    <n v="2"/>
    <n v="829"/>
    <n v="3"/>
    <n v="14"/>
    <n v="0"/>
    <n v="2"/>
    <n v="76.3"/>
    <n v="3.2"/>
    <n v="0"/>
    <n v="0.4"/>
    <n v="6.1"/>
    <n v="3.13"/>
    <n v="2.0699999999999998"/>
    <n v="5.2"/>
    <n v="10.15"/>
    <n v="9"/>
    <s v="No News"/>
    <n v="22"/>
    <n v="15"/>
    <n v="120"/>
    <n v="56"/>
    <n v="68"/>
    <n v="28"/>
    <n v="32"/>
    <n v="13"/>
  </r>
  <r>
    <s v="Joe Rodon"/>
    <x v="17"/>
    <x v="1"/>
    <n v="4.0999999999999996"/>
    <n v="46"/>
    <n v="4.2"/>
    <n v="6.4"/>
    <n v="2"/>
    <n v="0"/>
    <n v="990"/>
    <n v="2"/>
    <n v="20"/>
    <n v="0"/>
    <n v="5"/>
    <n v="45.5"/>
    <n v="4"/>
    <n v="1"/>
    <n v="1"/>
    <n v="11.2"/>
    <n v="0.68"/>
    <n v="0.09"/>
    <n v="0.77"/>
    <n v="14.59"/>
    <n v="11"/>
    <s v="No News"/>
    <n v="615"/>
    <n v="160"/>
    <n v="76"/>
    <n v="28"/>
    <n v="64"/>
    <n v="27"/>
    <n v="57"/>
    <n v="17"/>
  </r>
  <r>
    <s v="Adrien Truffert"/>
    <x v="2"/>
    <x v="1"/>
    <n v="4.5"/>
    <n v="45"/>
    <n v="4.0999999999999996"/>
    <n v="2.4"/>
    <n v="0"/>
    <n v="1"/>
    <n v="962"/>
    <n v="4"/>
    <n v="16"/>
    <n v="0"/>
    <n v="6"/>
    <n v="39.5"/>
    <n v="3.2"/>
    <n v="0"/>
    <n v="0.7"/>
    <n v="10"/>
    <n v="0.16"/>
    <n v="0.52"/>
    <n v="0.68"/>
    <n v="14.2"/>
    <n v="11"/>
    <s v="No News"/>
    <n v="438"/>
    <n v="93"/>
    <n v="111"/>
    <n v="42"/>
    <n v="71"/>
    <n v="32"/>
    <n v="115"/>
    <n v="44"/>
  </r>
  <r>
    <s v="Mohammed Kudus"/>
    <x v="7"/>
    <x v="2"/>
    <n v="6.6"/>
    <n v="45"/>
    <n v="4.5"/>
    <n v="22.8"/>
    <n v="1"/>
    <n v="5"/>
    <n v="875"/>
    <n v="4"/>
    <n v="8"/>
    <n v="0"/>
    <n v="4"/>
    <n v="66.2"/>
    <n v="1.5"/>
    <n v="2"/>
    <n v="0.2"/>
    <n v="6.8"/>
    <n v="1.48"/>
    <n v="1.34"/>
    <n v="2.82"/>
    <n v="13.89"/>
    <n v="10"/>
    <s v="Knock - 50% chance of playing"/>
    <n v="55"/>
    <n v="38"/>
    <n v="234"/>
    <n v="114"/>
    <n v="52"/>
    <n v="21"/>
    <n v="16"/>
    <n v="5"/>
  </r>
  <r>
    <s v="Omar Alderete"/>
    <x v="8"/>
    <x v="1"/>
    <n v="4.0999999999999996"/>
    <n v="45"/>
    <n v="5.6"/>
    <n v="4.9000000000000004"/>
    <n v="1"/>
    <n v="1"/>
    <n v="667"/>
    <n v="3"/>
    <n v="6"/>
    <n v="0"/>
    <n v="4"/>
    <n v="34.4"/>
    <n v="1.5"/>
    <n v="1"/>
    <n v="0.4"/>
    <n v="11"/>
    <n v="0.57999999999999996"/>
    <n v="0.35"/>
    <n v="0.93"/>
    <n v="9.26"/>
    <n v="7"/>
    <s v="Head injury - Expected back 22 Nov"/>
    <n v="614"/>
    <n v="159"/>
    <n v="221"/>
    <n v="70"/>
    <n v="12"/>
    <n v="7"/>
    <n v="70"/>
    <n v="24"/>
  </r>
  <r>
    <s v="Danny Welbeck"/>
    <x v="14"/>
    <x v="0"/>
    <n v="6.5"/>
    <n v="45"/>
    <n v="4.0999999999999996"/>
    <n v="9"/>
    <n v="6"/>
    <n v="0"/>
    <n v="709"/>
    <n v="2"/>
    <n v="13"/>
    <n v="0"/>
    <n v="6"/>
    <n v="52.7"/>
    <n v="6.8"/>
    <n v="2"/>
    <n v="1"/>
    <n v="6.9"/>
    <n v="4.1500000000000004"/>
    <n v="0.53"/>
    <n v="4.68"/>
    <n v="9.27"/>
    <n v="8"/>
    <s v="No News"/>
    <n v="56"/>
    <n v="17"/>
    <n v="11"/>
    <n v="4"/>
    <n v="75"/>
    <n v="7"/>
    <n v="43"/>
    <n v="8"/>
  </r>
  <r>
    <s v="Bukayo Saka"/>
    <x v="1"/>
    <x v="2"/>
    <n v="10.1"/>
    <n v="45"/>
    <n v="5"/>
    <n v="17.2"/>
    <n v="3"/>
    <n v="0"/>
    <n v="681"/>
    <n v="5"/>
    <n v="3"/>
    <n v="0"/>
    <n v="5"/>
    <n v="68"/>
    <n v="6.2"/>
    <n v="1"/>
    <n v="0.6"/>
    <n v="4.5"/>
    <n v="2.41"/>
    <n v="2.2599999999999998"/>
    <n v="4.67"/>
    <n v="4.43"/>
    <n v="8"/>
    <s v="No News"/>
    <n v="5"/>
    <n v="3"/>
    <n v="16"/>
    <n v="6"/>
    <n v="35"/>
    <n v="10"/>
    <n v="22"/>
    <n v="8"/>
  </r>
  <r>
    <s v="Dean Henderson"/>
    <x v="3"/>
    <x v="3"/>
    <n v="5"/>
    <n v="45"/>
    <n v="4.0999999999999996"/>
    <n v="7.6"/>
    <n v="0"/>
    <n v="0"/>
    <n v="990"/>
    <n v="5"/>
    <n v="9"/>
    <n v="25"/>
    <n v="2"/>
    <n v="22.2"/>
    <n v="4.5"/>
    <n v="0"/>
    <n v="0.9"/>
    <n v="9"/>
    <n v="0"/>
    <n v="0.06"/>
    <n v="0.06"/>
    <n v="12.88"/>
    <n v="11"/>
    <s v="No News"/>
    <n v="246"/>
    <n v="9"/>
    <n v="62"/>
    <n v="4"/>
    <n v="72"/>
    <n v="6"/>
    <n v="52"/>
    <n v="10"/>
  </r>
  <r>
    <s v="Rúben Rúben"/>
    <x v="0"/>
    <x v="1"/>
    <n v="5.5"/>
    <n v="45"/>
    <n v="4.0999999999999996"/>
    <n v="4.4000000000000004"/>
    <n v="0"/>
    <n v="0"/>
    <n v="905"/>
    <n v="5"/>
    <n v="7"/>
    <n v="0"/>
    <n v="1"/>
    <n v="26"/>
    <n v="4.5"/>
    <n v="0"/>
    <n v="0.8"/>
    <n v="8.1999999999999993"/>
    <n v="0.13"/>
    <n v="0.21"/>
    <n v="0.34"/>
    <n v="9.5399999999999991"/>
    <n v="10"/>
    <s v="No News"/>
    <n v="137"/>
    <n v="14"/>
    <n v="65"/>
    <n v="23"/>
    <n v="73"/>
    <n v="33"/>
    <n v="82"/>
    <n v="27"/>
  </r>
  <r>
    <s v="Lucas L.Paquetá"/>
    <x v="16"/>
    <x v="2"/>
    <n v="5.9"/>
    <n v="45"/>
    <n v="4.0999999999999996"/>
    <n v="2.7"/>
    <n v="3"/>
    <n v="1"/>
    <n v="959"/>
    <n v="1"/>
    <n v="22"/>
    <n v="0"/>
    <n v="5"/>
    <n v="64.8"/>
    <n v="4"/>
    <n v="0"/>
    <n v="0.7"/>
    <n v="7.6"/>
    <n v="1.87"/>
    <n v="1.25"/>
    <n v="3.12"/>
    <n v="15.59"/>
    <n v="11"/>
    <s v="Suspended until 30 Nov"/>
    <n v="100"/>
    <n v="67"/>
    <n v="83"/>
    <n v="41"/>
    <n v="74"/>
    <n v="29"/>
    <n v="108"/>
    <n v="37"/>
  </r>
  <r>
    <s v="Matheus Matheus N."/>
    <x v="0"/>
    <x v="1"/>
    <n v="5.3"/>
    <n v="45"/>
    <n v="5"/>
    <n v="0.7"/>
    <n v="1"/>
    <n v="2"/>
    <n v="693"/>
    <n v="3"/>
    <n v="5"/>
    <n v="0"/>
    <n v="4"/>
    <n v="29.3"/>
    <n v="6"/>
    <n v="2"/>
    <n v="1.1000000000000001"/>
    <n v="8.5"/>
    <n v="0.23"/>
    <n v="0.34"/>
    <n v="0.56999999999999995"/>
    <n v="6.3"/>
    <n v="7"/>
    <s v="No News"/>
    <n v="203"/>
    <n v="27"/>
    <n v="20"/>
    <n v="8"/>
    <n v="31"/>
    <n v="20"/>
    <n v="198"/>
    <n v="76"/>
  </r>
  <r>
    <s v="Jérémy Doku"/>
    <x v="0"/>
    <x v="2"/>
    <n v="6.4"/>
    <n v="44"/>
    <n v="4"/>
    <n v="4.7"/>
    <n v="1"/>
    <n v="4"/>
    <n v="617"/>
    <n v="4"/>
    <n v="3"/>
    <n v="0"/>
    <n v="6"/>
    <n v="71.8"/>
    <n v="3.8"/>
    <n v="1"/>
    <n v="0.6"/>
    <n v="6.9"/>
    <n v="1.07"/>
    <n v="2.0099999999999998"/>
    <n v="3.08"/>
    <n v="5.51"/>
    <n v="7"/>
    <s v="No News"/>
    <n v="64"/>
    <n v="42"/>
    <n v="97"/>
    <n v="46"/>
    <n v="81"/>
    <n v="34"/>
    <n v="77"/>
    <n v="24"/>
  </r>
  <r>
    <s v="Dominik Szoboszlai"/>
    <x v="10"/>
    <x v="2"/>
    <n v="6.6"/>
    <n v="44"/>
    <n v="4"/>
    <n v="4.9000000000000004"/>
    <n v="1"/>
    <n v="1"/>
    <n v="990"/>
    <n v="3"/>
    <n v="17"/>
    <n v="0"/>
    <n v="7"/>
    <n v="67.099999999999994"/>
    <n v="4.2"/>
    <n v="1"/>
    <n v="0.6"/>
    <n v="6.7"/>
    <n v="1.34"/>
    <n v="1.1299999999999999"/>
    <n v="2.4700000000000002"/>
    <n v="13.97"/>
    <n v="11"/>
    <s v="No News"/>
    <n v="53"/>
    <n v="36"/>
    <n v="73"/>
    <n v="35"/>
    <n v="83"/>
    <n v="36"/>
    <n v="71"/>
    <n v="21"/>
  </r>
  <r>
    <s v="Richarlison Richarlison"/>
    <x v="7"/>
    <x v="0"/>
    <n v="6.4"/>
    <n v="44"/>
    <n v="4"/>
    <n v="7.8"/>
    <n v="4"/>
    <n v="2"/>
    <n v="631"/>
    <n v="2"/>
    <n v="7"/>
    <n v="0"/>
    <n v="7"/>
    <n v="51"/>
    <n v="3"/>
    <n v="1"/>
    <n v="0.5"/>
    <n v="6.9"/>
    <n v="2.2599999999999998"/>
    <n v="0.62"/>
    <n v="2.88"/>
    <n v="9.2799999999999994"/>
    <n v="6"/>
    <s v="No News"/>
    <n v="62"/>
    <n v="21"/>
    <n v="134"/>
    <n v="12"/>
    <n v="80"/>
    <n v="8"/>
    <n v="49"/>
    <n v="9"/>
  </r>
  <r>
    <s v="Jack Grealish"/>
    <x v="9"/>
    <x v="2"/>
    <n v="6.8"/>
    <n v="43"/>
    <n v="4.3"/>
    <n v="16.600000000000001"/>
    <n v="1"/>
    <n v="4"/>
    <n v="826"/>
    <n v="3"/>
    <n v="11"/>
    <n v="0"/>
    <n v="7"/>
    <n v="80.7"/>
    <n v="1.5"/>
    <n v="2"/>
    <n v="0.2"/>
    <n v="6.3"/>
    <n v="1.07"/>
    <n v="2.2999999999999998"/>
    <n v="3.37"/>
    <n v="12.39"/>
    <n v="9"/>
    <s v="No News"/>
    <n v="41"/>
    <n v="25"/>
    <n v="236"/>
    <n v="116"/>
    <n v="63"/>
    <n v="27"/>
    <n v="23"/>
    <n v="9"/>
  </r>
  <r>
    <s v="James Tarkowski"/>
    <x v="9"/>
    <x v="1"/>
    <n v="5.4"/>
    <n v="43"/>
    <n v="3.9"/>
    <n v="6"/>
    <n v="0"/>
    <n v="0"/>
    <n v="990"/>
    <n v="3"/>
    <n v="13"/>
    <n v="0"/>
    <n v="1"/>
    <n v="40.6"/>
    <n v="2.8"/>
    <n v="0"/>
    <n v="0.5"/>
    <n v="8"/>
    <n v="0.36"/>
    <n v="0.52"/>
    <n v="0.88"/>
    <n v="15.83"/>
    <n v="11"/>
    <s v="No News"/>
    <n v="154"/>
    <n v="16"/>
    <n v="143"/>
    <n v="53"/>
    <n v="85"/>
    <n v="35"/>
    <n v="59"/>
    <n v="18"/>
  </r>
  <r>
    <s v="Lucas Digne"/>
    <x v="12"/>
    <x v="1"/>
    <n v="4.5"/>
    <n v="42"/>
    <n v="3.8"/>
    <n v="1.6"/>
    <n v="0"/>
    <n v="3"/>
    <n v="817"/>
    <n v="4"/>
    <n v="6"/>
    <n v="0"/>
    <n v="0"/>
    <n v="39.9"/>
    <n v="5.2"/>
    <n v="0"/>
    <n v="1.2"/>
    <n v="9.3000000000000007"/>
    <n v="0.27"/>
    <n v="1.33"/>
    <n v="1.6"/>
    <n v="10.97"/>
    <n v="10"/>
    <s v="No News"/>
    <n v="394"/>
    <n v="71"/>
    <n v="32"/>
    <n v="12"/>
    <n v="91"/>
    <n v="37"/>
    <n v="142"/>
    <n v="55"/>
  </r>
  <r>
    <s v="Jordan Pickford"/>
    <x v="9"/>
    <x v="3"/>
    <n v="5.5"/>
    <n v="42"/>
    <n v="3.8"/>
    <n v="9.6"/>
    <n v="0"/>
    <n v="0"/>
    <n v="990"/>
    <n v="3"/>
    <n v="13"/>
    <n v="29"/>
    <n v="3"/>
    <n v="28.2"/>
    <n v="3"/>
    <n v="1"/>
    <n v="0.5"/>
    <n v="7.6"/>
    <n v="0"/>
    <n v="7.0000000000000007E-2"/>
    <n v="7.0000000000000007E-2"/>
    <n v="15.83"/>
    <n v="11"/>
    <s v="No News"/>
    <n v="135"/>
    <n v="3"/>
    <n v="130"/>
    <n v="13"/>
    <n v="97"/>
    <n v="9"/>
    <n v="41"/>
    <n v="7"/>
  </r>
  <r>
    <s v="James Garner"/>
    <x v="9"/>
    <x v="2"/>
    <n v="5"/>
    <n v="42"/>
    <n v="3.8"/>
    <n v="0.8"/>
    <n v="1"/>
    <n v="1"/>
    <n v="990"/>
    <n v="3"/>
    <n v="13"/>
    <n v="0"/>
    <n v="5"/>
    <n v="53.1"/>
    <n v="2.2000000000000002"/>
    <n v="0"/>
    <n v="0.4"/>
    <n v="8.4"/>
    <n v="0.99"/>
    <n v="1.38"/>
    <n v="2.37"/>
    <n v="15.83"/>
    <n v="11"/>
    <s v="No News"/>
    <n v="261"/>
    <n v="162"/>
    <n v="173"/>
    <n v="80"/>
    <n v="95"/>
    <n v="38"/>
    <n v="191"/>
    <n v="65"/>
  </r>
  <r>
    <s v="Idrissa Gana Gana"/>
    <x v="9"/>
    <x v="2"/>
    <n v="5.4"/>
    <n v="42"/>
    <n v="3.8"/>
    <n v="0.1"/>
    <n v="2"/>
    <n v="0"/>
    <n v="949"/>
    <n v="3"/>
    <n v="11"/>
    <n v="0"/>
    <n v="3"/>
    <n v="39.200000000000003"/>
    <n v="4.5"/>
    <n v="0"/>
    <n v="0.8"/>
    <n v="7.8"/>
    <n v="1.07"/>
    <n v="0.6"/>
    <n v="1.67"/>
    <n v="13.86"/>
    <n v="11"/>
    <s v="No News"/>
    <n v="155"/>
    <n v="97"/>
    <n v="64"/>
    <n v="31"/>
    <n v="96"/>
    <n v="39"/>
    <n v="420"/>
    <n v="142"/>
  </r>
  <r>
    <s v="Virgil Virgil"/>
    <x v="10"/>
    <x v="1"/>
    <n v="5.9"/>
    <n v="41"/>
    <n v="3.7"/>
    <n v="23"/>
    <n v="0"/>
    <n v="0"/>
    <n v="990"/>
    <n v="3"/>
    <n v="17"/>
    <n v="0"/>
    <n v="4"/>
    <n v="42.4"/>
    <n v="3"/>
    <n v="0"/>
    <n v="0.5"/>
    <n v="6.9"/>
    <n v="0.41"/>
    <n v="0.2"/>
    <n v="0.61"/>
    <n v="13.97"/>
    <n v="11"/>
    <s v="No News"/>
    <n v="93"/>
    <n v="5"/>
    <n v="131"/>
    <n v="48"/>
    <n v="105"/>
    <n v="41"/>
    <n v="14"/>
    <n v="6"/>
  </r>
  <r>
    <s v="Trai Hume"/>
    <x v="8"/>
    <x v="1"/>
    <n v="4.5"/>
    <n v="41"/>
    <n v="3.7"/>
    <n v="0.4"/>
    <n v="0"/>
    <n v="1"/>
    <n v="978"/>
    <n v="4"/>
    <n v="10"/>
    <n v="0"/>
    <n v="2"/>
    <n v="32.799999999999997"/>
    <n v="3.8"/>
    <n v="0"/>
    <n v="0.8"/>
    <n v="9.1"/>
    <n v="0.48"/>
    <n v="0.56999999999999995"/>
    <n v="1.05"/>
    <n v="12.88"/>
    <n v="11"/>
    <s v="No News"/>
    <n v="433"/>
    <n v="91"/>
    <n v="89"/>
    <n v="32"/>
    <n v="98"/>
    <n v="40"/>
    <n v="271"/>
    <n v="101"/>
  </r>
  <r>
    <s v="Elliot Anderson"/>
    <x v="18"/>
    <x v="2"/>
    <n v="5.3"/>
    <n v="41"/>
    <n v="3.7"/>
    <n v="3"/>
    <n v="1"/>
    <n v="1"/>
    <n v="990"/>
    <n v="0"/>
    <n v="20"/>
    <n v="0"/>
    <n v="1"/>
    <n v="61.4"/>
    <n v="4.8"/>
    <n v="0"/>
    <n v="0.9"/>
    <n v="7.7"/>
    <n v="1.58"/>
    <n v="1.33"/>
    <n v="2.91"/>
    <n v="16.25"/>
    <n v="11"/>
    <s v="No News"/>
    <n v="198"/>
    <n v="124"/>
    <n v="52"/>
    <n v="27"/>
    <n v="101"/>
    <n v="41"/>
    <n v="102"/>
    <n v="34"/>
  </r>
  <r>
    <s v="Brenden Aaronson"/>
    <x v="17"/>
    <x v="2"/>
    <n v="5.4"/>
    <n v="41"/>
    <n v="3.7"/>
    <n v="0.2"/>
    <n v="1"/>
    <n v="3"/>
    <n v="709"/>
    <n v="2"/>
    <n v="11"/>
    <n v="0"/>
    <n v="3"/>
    <n v="46.6"/>
    <n v="5.5"/>
    <n v="1"/>
    <n v="1"/>
    <n v="7.6"/>
    <n v="1.66"/>
    <n v="1.43"/>
    <n v="3.09"/>
    <n v="10.35"/>
    <n v="8"/>
    <s v="No News"/>
    <n v="170"/>
    <n v="104"/>
    <n v="26"/>
    <n v="11"/>
    <n v="102"/>
    <n v="42"/>
    <n v="384"/>
    <n v="132"/>
  </r>
  <r>
    <s v="Eberechi Eze"/>
    <x v="1"/>
    <x v="2"/>
    <n v="7.6"/>
    <n v="41"/>
    <n v="4.0999999999999996"/>
    <n v="13.7"/>
    <n v="1"/>
    <n v="3"/>
    <n v="700"/>
    <n v="6"/>
    <n v="3"/>
    <n v="0"/>
    <n v="3"/>
    <n v="43.4"/>
    <n v="4.8"/>
    <n v="1"/>
    <n v="0.6"/>
    <n v="5.4"/>
    <n v="1.88"/>
    <n v="0.95"/>
    <n v="2.83"/>
    <n v="4.09"/>
    <n v="8"/>
    <s v="No News"/>
    <n v="21"/>
    <n v="14"/>
    <n v="58"/>
    <n v="30"/>
    <n v="76"/>
    <n v="30"/>
    <n v="30"/>
    <n v="12"/>
  </r>
  <r>
    <s v="Wilson Isidor"/>
    <x v="8"/>
    <x v="0"/>
    <n v="5.6"/>
    <n v="41"/>
    <n v="3.7"/>
    <n v="3.5"/>
    <n v="4"/>
    <n v="0"/>
    <n v="670"/>
    <n v="3"/>
    <n v="8"/>
    <n v="0"/>
    <n v="7"/>
    <n v="37.799999999999997"/>
    <n v="3.2"/>
    <n v="1"/>
    <n v="0.6"/>
    <n v="7.3"/>
    <n v="2.46"/>
    <n v="0.04"/>
    <n v="2.5"/>
    <n v="9.4499999999999993"/>
    <n v="8"/>
    <s v="No News"/>
    <n v="131"/>
    <n v="33"/>
    <n v="116"/>
    <n v="9"/>
    <n v="103"/>
    <n v="11"/>
    <n v="91"/>
    <n v="17"/>
  </r>
  <r>
    <s v="Anton Stach"/>
    <x v="17"/>
    <x v="2"/>
    <n v="4.9000000000000004"/>
    <n v="40"/>
    <n v="4"/>
    <n v="2.1"/>
    <n v="1"/>
    <n v="2"/>
    <n v="798"/>
    <n v="2"/>
    <n v="18"/>
    <n v="0"/>
    <n v="3"/>
    <n v="49.6"/>
    <n v="1.8"/>
    <n v="1"/>
    <n v="0.4"/>
    <n v="8.1999999999999993"/>
    <n v="0.89"/>
    <n v="0.75"/>
    <n v="1.64"/>
    <n v="12.22"/>
    <n v="9"/>
    <s v="No News"/>
    <n v="328"/>
    <n v="206"/>
    <n v="209"/>
    <n v="104"/>
    <n v="78"/>
    <n v="32"/>
    <n v="123"/>
    <n v="41"/>
  </r>
  <r>
    <s v="Jan Paul Van Hecke"/>
    <x v="14"/>
    <x v="1"/>
    <n v="4.4000000000000004"/>
    <n v="40"/>
    <n v="3.6"/>
    <n v="1.3"/>
    <n v="1"/>
    <n v="0"/>
    <n v="990"/>
    <n v="2"/>
    <n v="15"/>
    <n v="0"/>
    <n v="4"/>
    <n v="46.6"/>
    <n v="4.5"/>
    <n v="1"/>
    <n v="1"/>
    <n v="9.1"/>
    <n v="0.69"/>
    <n v="0.28999999999999998"/>
    <n v="0.97"/>
    <n v="13.2"/>
    <n v="11"/>
    <s v="No News"/>
    <n v="524"/>
    <n v="125"/>
    <n v="60"/>
    <n v="21"/>
    <n v="109"/>
    <n v="42"/>
    <n v="158"/>
    <n v="60"/>
  </r>
  <r>
    <s v="Alex Iwobi"/>
    <x v="15"/>
    <x v="2"/>
    <n v="6.5"/>
    <n v="40"/>
    <n v="3.6"/>
    <n v="1.5"/>
    <n v="1"/>
    <n v="2"/>
    <n v="899"/>
    <n v="2"/>
    <n v="15"/>
    <n v="0"/>
    <n v="5"/>
    <n v="57.5"/>
    <n v="2.5"/>
    <n v="1"/>
    <n v="0.4"/>
    <n v="6.2"/>
    <n v="0.55000000000000004"/>
    <n v="1.58"/>
    <n v="2.13"/>
    <n v="13.58"/>
    <n v="11"/>
    <s v="No News"/>
    <n v="57"/>
    <n v="39"/>
    <n v="161"/>
    <n v="70"/>
    <n v="114"/>
    <n v="49"/>
    <n v="147"/>
    <n v="51"/>
  </r>
  <r>
    <s v="Leandro Trossard"/>
    <x v="1"/>
    <x v="2"/>
    <n v="6.9"/>
    <n v="40"/>
    <n v="4.4000000000000004"/>
    <n v="0.7"/>
    <n v="2"/>
    <n v="2"/>
    <n v="642"/>
    <n v="4"/>
    <n v="4"/>
    <n v="0"/>
    <n v="4"/>
    <n v="47.8"/>
    <n v="7"/>
    <n v="0"/>
    <n v="1"/>
    <n v="5.8"/>
    <n v="1.92"/>
    <n v="1.1499999999999999"/>
    <n v="3.07"/>
    <n v="3.61"/>
    <n v="7"/>
    <s v="No News"/>
    <n v="37"/>
    <n v="22"/>
    <n v="9"/>
    <n v="4"/>
    <n v="58"/>
    <n v="24"/>
    <n v="196"/>
    <n v="66"/>
  </r>
  <r>
    <s v="Nick Woltemade"/>
    <x v="13"/>
    <x v="0"/>
    <n v="7.4"/>
    <n v="40"/>
    <n v="5"/>
    <n v="22.2"/>
    <n v="4"/>
    <n v="1"/>
    <n v="613"/>
    <n v="4"/>
    <n v="8"/>
    <n v="0"/>
    <n v="6"/>
    <n v="38.5"/>
    <n v="4"/>
    <n v="0"/>
    <n v="0.5"/>
    <n v="5.4"/>
    <n v="3.03"/>
    <n v="0.26"/>
    <n v="3.29"/>
    <n v="8.02"/>
    <n v="8"/>
    <s v="No News"/>
    <n v="25"/>
    <n v="9"/>
    <n v="84"/>
    <n v="8"/>
    <n v="34"/>
    <n v="4"/>
    <n v="17"/>
    <n v="4"/>
  </r>
  <r>
    <s v="Kevin Schade"/>
    <x v="4"/>
    <x v="2"/>
    <n v="7"/>
    <n v="40"/>
    <n v="3.6"/>
    <n v="0.7"/>
    <n v="3"/>
    <n v="2"/>
    <n v="920"/>
    <n v="2"/>
    <n v="12"/>
    <n v="0"/>
    <n v="2"/>
    <n v="59.5"/>
    <n v="5.5"/>
    <n v="0"/>
    <n v="0.8"/>
    <n v="5.7"/>
    <n v="3.07"/>
    <n v="0.79"/>
    <n v="3.86"/>
    <n v="11.12"/>
    <n v="10"/>
    <s v="No News"/>
    <n v="36"/>
    <n v="21"/>
    <n v="29"/>
    <n v="13"/>
    <n v="115"/>
    <n v="50"/>
    <n v="200"/>
    <n v="67"/>
  </r>
  <r>
    <s v="Đorđe Petrović"/>
    <x v="2"/>
    <x v="3"/>
    <n v="4.5"/>
    <n v="40"/>
    <n v="3.6"/>
    <n v="5.7"/>
    <n v="0"/>
    <n v="0"/>
    <n v="990"/>
    <n v="4"/>
    <n v="18"/>
    <n v="35"/>
    <n v="1"/>
    <n v="27.7"/>
    <n v="3.2"/>
    <n v="0"/>
    <n v="0.7"/>
    <n v="8.9"/>
    <n v="0"/>
    <n v="0"/>
    <n v="0"/>
    <n v="15.05"/>
    <n v="11"/>
    <s v="No News"/>
    <n v="426"/>
    <n v="25"/>
    <n v="110"/>
    <n v="11"/>
    <n v="110"/>
    <n v="11"/>
    <n v="64"/>
    <n v="12"/>
  </r>
  <r>
    <s v="Emiliano Martinez"/>
    <x v="12"/>
    <x v="3"/>
    <n v="5"/>
    <n v="40"/>
    <n v="4.4000000000000004"/>
    <n v="2.1"/>
    <n v="0"/>
    <n v="0"/>
    <n v="810"/>
    <n v="3"/>
    <n v="7"/>
    <n v="20"/>
    <n v="3"/>
    <n v="18.2"/>
    <n v="6.2"/>
    <n v="2"/>
    <n v="1.2"/>
    <n v="8"/>
    <n v="0"/>
    <n v="0.03"/>
    <n v="0.03"/>
    <n v="10.41"/>
    <n v="9"/>
    <s v="No News"/>
    <n v="242"/>
    <n v="8"/>
    <n v="14"/>
    <n v="1"/>
    <n v="55"/>
    <n v="4"/>
    <n v="121"/>
    <n v="16"/>
  </r>
  <r>
    <s v="Morgan Gibbs-White"/>
    <x v="18"/>
    <x v="2"/>
    <n v="7.3"/>
    <n v="40"/>
    <n v="3.6"/>
    <n v="3.2"/>
    <n v="2"/>
    <n v="1"/>
    <n v="906"/>
    <n v="0"/>
    <n v="18"/>
    <n v="0"/>
    <n v="4"/>
    <n v="57.8"/>
    <n v="5.5"/>
    <n v="0"/>
    <n v="0.8"/>
    <n v="5.5"/>
    <n v="2.4900000000000002"/>
    <n v="0.98"/>
    <n v="3.47"/>
    <n v="15.56"/>
    <n v="10"/>
    <s v="No News"/>
    <n v="28"/>
    <n v="17"/>
    <n v="30"/>
    <n v="14"/>
    <n v="116"/>
    <n v="51"/>
    <n v="98"/>
    <n v="32"/>
  </r>
  <r>
    <s v="Dango O.Dango"/>
    <x v="4"/>
    <x v="2"/>
    <n v="6"/>
    <n v="39"/>
    <n v="3.9"/>
    <n v="0.5"/>
    <n v="2"/>
    <n v="2"/>
    <n v="640"/>
    <n v="2"/>
    <n v="9"/>
    <n v="0"/>
    <n v="4"/>
    <n v="41.4"/>
    <n v="5"/>
    <n v="1"/>
    <n v="0.8"/>
    <n v="6.5"/>
    <n v="2.63"/>
    <n v="0.39"/>
    <n v="3.02"/>
    <n v="7.43"/>
    <n v="7"/>
    <s v="No News"/>
    <n v="90"/>
    <n v="59"/>
    <n v="44"/>
    <n v="22"/>
    <n v="88"/>
    <n v="37"/>
    <n v="231"/>
    <n v="81"/>
  </r>
  <r>
    <s v="Matthijs De Ligt"/>
    <x v="6"/>
    <x v="1"/>
    <n v="5"/>
    <n v="39"/>
    <n v="3.5"/>
    <n v="3"/>
    <n v="1"/>
    <n v="0"/>
    <n v="990"/>
    <n v="1"/>
    <n v="18"/>
    <n v="0"/>
    <n v="5"/>
    <n v="36.700000000000003"/>
    <n v="3.2"/>
    <n v="0"/>
    <n v="0.6"/>
    <n v="7.8"/>
    <n v="0.99"/>
    <n v="0.46"/>
    <n v="1.45"/>
    <n v="16.670000000000002"/>
    <n v="11"/>
    <s v="No News"/>
    <n v="253"/>
    <n v="37"/>
    <n v="114"/>
    <n v="43"/>
    <n v="120"/>
    <n v="43"/>
    <n v="101"/>
    <n v="36"/>
  </r>
  <r>
    <s v="Ibrahima Konaté"/>
    <x v="10"/>
    <x v="1"/>
    <n v="5.4"/>
    <n v="39"/>
    <n v="3.5"/>
    <n v="2.7"/>
    <n v="0"/>
    <n v="0"/>
    <n v="922"/>
    <n v="3"/>
    <n v="15"/>
    <n v="0"/>
    <n v="3"/>
    <n v="33.6"/>
    <n v="3.8"/>
    <n v="0"/>
    <n v="0.7"/>
    <n v="7.2"/>
    <n v="0.74"/>
    <n v="0.34"/>
    <n v="1.08"/>
    <n v="12.3"/>
    <n v="11"/>
    <s v="No News"/>
    <n v="164"/>
    <n v="19"/>
    <n v="93"/>
    <n v="34"/>
    <n v="124"/>
    <n v="44"/>
    <n v="109"/>
    <n v="40"/>
  </r>
  <r>
    <s v="William Saliba"/>
    <x v="1"/>
    <x v="1"/>
    <n v="6"/>
    <n v="39"/>
    <n v="3.9"/>
    <n v="11.6"/>
    <n v="0"/>
    <n v="0"/>
    <n v="724"/>
    <n v="5"/>
    <n v="3"/>
    <n v="0"/>
    <n v="1"/>
    <n v="22"/>
    <n v="3.5"/>
    <n v="0"/>
    <n v="0.6"/>
    <n v="6.5"/>
    <n v="0.28999999999999998"/>
    <n v="0.23"/>
    <n v="0.52"/>
    <n v="4.6500000000000004"/>
    <n v="9"/>
    <s v="No News"/>
    <n v="86"/>
    <n v="4"/>
    <n v="106"/>
    <n v="38"/>
    <n v="87"/>
    <n v="36"/>
    <n v="37"/>
    <n v="12"/>
  </r>
  <r>
    <s v="Malo Gusto"/>
    <x v="5"/>
    <x v="1"/>
    <n v="4.9000000000000004"/>
    <n v="39"/>
    <n v="4.3"/>
    <n v="1.1000000000000001"/>
    <n v="1"/>
    <n v="1"/>
    <n v="549"/>
    <n v="4"/>
    <n v="5"/>
    <n v="0"/>
    <n v="3"/>
    <n v="27.7"/>
    <n v="6"/>
    <n v="1"/>
    <n v="1.2"/>
    <n v="8"/>
    <n v="0.69"/>
    <n v="0.43"/>
    <n v="1.1200000000000001"/>
    <n v="7.96"/>
    <n v="6"/>
    <s v="No News"/>
    <n v="333"/>
    <n v="56"/>
    <n v="19"/>
    <n v="7"/>
    <n v="59"/>
    <n v="26"/>
    <n v="172"/>
    <n v="65"/>
  </r>
  <r>
    <s v="Joachim Andersen"/>
    <x v="15"/>
    <x v="1"/>
    <n v="4.5"/>
    <n v="39"/>
    <n v="3.9"/>
    <n v="2.8"/>
    <n v="0"/>
    <n v="0"/>
    <n v="851"/>
    <n v="2"/>
    <n v="13"/>
    <n v="0"/>
    <n v="2"/>
    <n v="31.1"/>
    <n v="2.5"/>
    <n v="1"/>
    <n v="0.6"/>
    <n v="8.6999999999999993"/>
    <n v="0.48"/>
    <n v="0.97"/>
    <n v="1.45"/>
    <n v="11.31"/>
    <n v="10"/>
    <s v="No News"/>
    <n v="402"/>
    <n v="75"/>
    <n v="149"/>
    <n v="55"/>
    <n v="84"/>
    <n v="34"/>
    <n v="106"/>
    <n v="38"/>
  </r>
  <r>
    <s v="Hugo Ekitiké"/>
    <x v="10"/>
    <x v="0"/>
    <n v="8.6"/>
    <n v="39"/>
    <n v="3.9"/>
    <n v="15.6"/>
    <n v="3"/>
    <n v="1"/>
    <n v="630"/>
    <n v="3"/>
    <n v="10"/>
    <n v="0"/>
    <n v="7"/>
    <n v="36.6"/>
    <n v="1.5"/>
    <n v="0"/>
    <n v="0.2"/>
    <n v="4.5"/>
    <n v="2.33"/>
    <n v="0.31"/>
    <n v="2.64"/>
    <n v="9.2899999999999991"/>
    <n v="8"/>
    <s v="No News"/>
    <n v="8"/>
    <n v="4"/>
    <n v="240"/>
    <n v="27"/>
    <n v="89"/>
    <n v="9"/>
    <n v="27"/>
    <n v="5"/>
  </r>
  <r>
    <s v="Emiliano Buendía"/>
    <x v="12"/>
    <x v="2"/>
    <n v="5.3"/>
    <n v="39"/>
    <n v="4.3"/>
    <n v="0.3"/>
    <n v="3"/>
    <n v="2"/>
    <n v="435"/>
    <n v="2"/>
    <n v="3"/>
    <n v="0"/>
    <n v="7"/>
    <n v="40.5"/>
    <n v="5.5"/>
    <n v="2"/>
    <n v="1"/>
    <n v="7.4"/>
    <n v="1"/>
    <n v="0.67"/>
    <n v="1.67"/>
    <n v="5.82"/>
    <n v="4"/>
    <s v="No News"/>
    <n v="194"/>
    <n v="121"/>
    <n v="25"/>
    <n v="10"/>
    <n v="61"/>
    <n v="25"/>
    <n v="323"/>
    <n v="111"/>
  </r>
  <r>
    <s v="Sean Longstaff"/>
    <x v="17"/>
    <x v="2"/>
    <n v="4.9000000000000004"/>
    <n v="38"/>
    <n v="3.5"/>
    <n v="1.1000000000000001"/>
    <n v="1"/>
    <n v="2"/>
    <n v="787"/>
    <n v="1"/>
    <n v="13"/>
    <n v="0"/>
    <n v="4"/>
    <n v="56.2"/>
    <n v="2.5"/>
    <n v="1"/>
    <n v="0.5"/>
    <n v="7.8"/>
    <n v="0.68"/>
    <n v="0.92"/>
    <n v="1.6"/>
    <n v="9.6999999999999993"/>
    <n v="9"/>
    <s v="No News"/>
    <n v="299"/>
    <n v="188"/>
    <n v="152"/>
    <n v="64"/>
    <n v="118"/>
    <n v="52"/>
    <n v="174"/>
    <n v="60"/>
  </r>
  <r>
    <s v="Amad Amad"/>
    <x v="6"/>
    <x v="2"/>
    <n v="6.3"/>
    <n v="37"/>
    <n v="3.7"/>
    <n v="1.6"/>
    <n v="1"/>
    <n v="3"/>
    <n v="753"/>
    <n v="2"/>
    <n v="10"/>
    <n v="0"/>
    <n v="5"/>
    <n v="55.1"/>
    <n v="5.8"/>
    <n v="0"/>
    <n v="0.9"/>
    <n v="5.9"/>
    <n v="2.0699999999999998"/>
    <n v="1.45"/>
    <n v="3.52"/>
    <n v="10.4"/>
    <n v="9"/>
    <s v="No News"/>
    <n v="74"/>
    <n v="51"/>
    <n v="24"/>
    <n v="9"/>
    <n v="106"/>
    <n v="44"/>
    <n v="144"/>
    <n v="50"/>
  </r>
  <r>
    <s v="Tino Livramento"/>
    <x v="13"/>
    <x v="1"/>
    <n v="4.9000000000000004"/>
    <n v="37"/>
    <n v="6.2"/>
    <n v="2.8"/>
    <n v="0"/>
    <n v="1"/>
    <n v="526"/>
    <n v="5"/>
    <n v="3"/>
    <n v="0"/>
    <n v="3"/>
    <n v="14.3"/>
    <n v="0"/>
    <n v="0"/>
    <n v="0"/>
    <n v="7.6"/>
    <n v="0"/>
    <n v="0.33"/>
    <n v="0.33"/>
    <n v="4.28"/>
    <n v="6"/>
    <s v="Knee injury - Expected back 22 Nov"/>
    <n v="323"/>
    <n v="53"/>
    <n v="672"/>
    <n v="238"/>
    <n v="5"/>
    <n v="3"/>
    <n v="107"/>
    <n v="39"/>
  </r>
  <r>
    <s v="Tyler Adams"/>
    <x v="2"/>
    <x v="2"/>
    <n v="5"/>
    <n v="37"/>
    <n v="3.4"/>
    <n v="0.5"/>
    <n v="1"/>
    <n v="1"/>
    <n v="953"/>
    <n v="4"/>
    <n v="17"/>
    <n v="0"/>
    <n v="1"/>
    <n v="35.4"/>
    <n v="4.8"/>
    <n v="0"/>
    <n v="1"/>
    <n v="7.4"/>
    <n v="0.53"/>
    <n v="0.24"/>
    <n v="0.77"/>
    <n v="14.31"/>
    <n v="11"/>
    <s v="No News"/>
    <n v="252"/>
    <n v="156"/>
    <n v="49"/>
    <n v="25"/>
    <n v="130"/>
    <n v="58"/>
    <n v="239"/>
    <n v="85"/>
  </r>
  <r>
    <s v="Pape Matar P.M.Sarr"/>
    <x v="7"/>
    <x v="2"/>
    <n v="4.9000000000000004"/>
    <n v="37"/>
    <n v="3.7"/>
    <n v="1.6"/>
    <n v="2"/>
    <n v="2"/>
    <n v="570"/>
    <n v="3"/>
    <n v="4"/>
    <n v="0"/>
    <n v="0"/>
    <n v="28.4"/>
    <n v="3.2"/>
    <n v="0"/>
    <n v="0.7"/>
    <n v="7.6"/>
    <n v="0.74"/>
    <n v="0.38"/>
    <n v="1.1200000000000001"/>
    <n v="9.6"/>
    <n v="6"/>
    <s v="No News"/>
    <n v="332"/>
    <n v="209"/>
    <n v="113"/>
    <n v="52"/>
    <n v="100"/>
    <n v="40"/>
    <n v="139"/>
    <n v="49"/>
  </r>
  <r>
    <s v="Viktor Gyökeres"/>
    <x v="1"/>
    <x v="0"/>
    <n v="8.9"/>
    <n v="37"/>
    <n v="3.7"/>
    <n v="14.2"/>
    <n v="4"/>
    <n v="0"/>
    <n v="801"/>
    <n v="5"/>
    <n v="3"/>
    <n v="0"/>
    <n v="4"/>
    <n v="57.7"/>
    <n v="2.8"/>
    <n v="1"/>
    <n v="0.3"/>
    <n v="4.2"/>
    <n v="4.45"/>
    <n v="0.66"/>
    <n v="5.1100000000000003"/>
    <n v="4.3899999999999997"/>
    <n v="10"/>
    <s v="Muscle injury - 25% chance of playing"/>
    <n v="7"/>
    <n v="3"/>
    <n v="147"/>
    <n v="16"/>
    <n v="107"/>
    <n v="12"/>
    <n v="29"/>
    <n v="6"/>
  </r>
  <r>
    <s v="Robert Sánchez"/>
    <x v="5"/>
    <x v="3"/>
    <n v="4.8"/>
    <n v="37"/>
    <n v="3.4"/>
    <n v="13.7"/>
    <n v="0"/>
    <n v="0"/>
    <n v="904"/>
    <n v="5"/>
    <n v="11"/>
    <n v="18"/>
    <n v="1"/>
    <n v="17.7"/>
    <n v="4.5"/>
    <n v="0"/>
    <n v="0.9"/>
    <n v="7.7"/>
    <n v="0"/>
    <n v="0.01"/>
    <n v="0.01"/>
    <n v="12.05"/>
    <n v="11"/>
    <s v="No News"/>
    <n v="357"/>
    <n v="15"/>
    <n v="61"/>
    <n v="3"/>
    <n v="126"/>
    <n v="13"/>
    <n v="31"/>
    <n v="3"/>
  </r>
  <r>
    <s v="Jacob J.Murphy"/>
    <x v="13"/>
    <x v="2"/>
    <n v="6.1"/>
    <n v="36"/>
    <n v="3.6"/>
    <n v="1.2"/>
    <n v="2"/>
    <n v="1"/>
    <n v="566"/>
    <n v="4"/>
    <n v="5"/>
    <n v="0"/>
    <n v="2"/>
    <n v="47.4"/>
    <n v="4.8"/>
    <n v="0"/>
    <n v="0.8"/>
    <n v="5.9"/>
    <n v="2.17"/>
    <n v="0.92"/>
    <n v="3.09"/>
    <n v="6.13"/>
    <n v="7"/>
    <s v="No News"/>
    <n v="82"/>
    <n v="55"/>
    <n v="56"/>
    <n v="29"/>
    <n v="113"/>
    <n v="48"/>
    <n v="164"/>
    <n v="58"/>
  </r>
  <r>
    <s v="Quilindschy Hartman"/>
    <x v="11"/>
    <x v="1"/>
    <n v="4"/>
    <n v="36"/>
    <n v="3.3"/>
    <n v="1"/>
    <n v="0"/>
    <n v="4"/>
    <n v="977"/>
    <n v="2"/>
    <n v="19"/>
    <n v="0"/>
    <n v="0"/>
    <n v="45.5"/>
    <n v="3.8"/>
    <n v="0"/>
    <n v="1"/>
    <n v="9"/>
    <n v="0.14000000000000001"/>
    <n v="1.37"/>
    <n v="1.51"/>
    <n v="22.68"/>
    <n v="11"/>
    <s v="No News"/>
    <n v="665"/>
    <n v="183"/>
    <n v="87"/>
    <n v="31"/>
    <n v="134"/>
    <n v="47"/>
    <n v="185"/>
    <n v="69"/>
  </r>
  <r>
    <s v="Mats Wieffer"/>
    <x v="14"/>
    <x v="2"/>
    <n v="4.9000000000000004"/>
    <n v="36"/>
    <n v="4"/>
    <n v="0.3"/>
    <n v="0"/>
    <n v="3"/>
    <n v="639"/>
    <n v="2"/>
    <n v="8"/>
    <n v="0"/>
    <n v="2"/>
    <n v="33.5"/>
    <n v="6"/>
    <n v="0"/>
    <n v="1.2"/>
    <n v="7.3"/>
    <n v="0.15"/>
    <n v="0.97"/>
    <n v="1.1200000000000001"/>
    <n v="6.57"/>
    <n v="7"/>
    <s v="No News"/>
    <n v="329"/>
    <n v="207"/>
    <n v="18"/>
    <n v="7"/>
    <n v="79"/>
    <n v="33"/>
    <n v="310"/>
    <n v="108"/>
  </r>
  <r>
    <s v="Alex Scott"/>
    <x v="2"/>
    <x v="2"/>
    <n v="5"/>
    <n v="36"/>
    <n v="3.3"/>
    <n v="0.3"/>
    <n v="1"/>
    <n v="1"/>
    <n v="727"/>
    <n v="4"/>
    <n v="10"/>
    <n v="0"/>
    <n v="2"/>
    <n v="30"/>
    <n v="3"/>
    <n v="0"/>
    <n v="0.6"/>
    <n v="7.2"/>
    <n v="0.56999999999999995"/>
    <n v="0.38"/>
    <n v="0.95"/>
    <n v="9.1999999999999993"/>
    <n v="10"/>
    <s v="No News"/>
    <n v="278"/>
    <n v="172"/>
    <n v="127"/>
    <n v="58"/>
    <n v="137"/>
    <n v="62"/>
    <n v="307"/>
    <n v="106"/>
  </r>
  <r>
    <s v="Rodrigo Bentancur"/>
    <x v="7"/>
    <x v="2"/>
    <n v="5.3"/>
    <n v="35"/>
    <n v="3.5"/>
    <n v="0.4"/>
    <n v="1"/>
    <n v="1"/>
    <n v="655"/>
    <n v="2"/>
    <n v="9"/>
    <n v="0"/>
    <n v="3"/>
    <n v="28.1"/>
    <n v="5.2"/>
    <n v="1"/>
    <n v="1"/>
    <n v="6.6"/>
    <n v="0.34"/>
    <n v="0.4"/>
    <n v="0.74"/>
    <n v="10.84"/>
    <n v="8"/>
    <s v="No News"/>
    <n v="197"/>
    <n v="123"/>
    <n v="36"/>
    <n v="17"/>
    <n v="123"/>
    <n v="55"/>
    <n v="270"/>
    <n v="94"/>
  </r>
  <r>
    <s v="Morgan Rogers"/>
    <x v="12"/>
    <x v="2"/>
    <n v="6.8"/>
    <n v="35"/>
    <n v="3.2"/>
    <n v="4.9000000000000004"/>
    <n v="1"/>
    <n v="2"/>
    <n v="976"/>
    <n v="4"/>
    <n v="10"/>
    <n v="0"/>
    <n v="0"/>
    <n v="45"/>
    <n v="3.2"/>
    <n v="0"/>
    <n v="0.5"/>
    <n v="5.0999999999999996"/>
    <n v="0.66"/>
    <n v="0.96"/>
    <n v="1.62"/>
    <n v="14.42"/>
    <n v="11"/>
    <s v="No News"/>
    <n v="43"/>
    <n v="27"/>
    <n v="119"/>
    <n v="55"/>
    <n v="151"/>
    <n v="69"/>
    <n v="72"/>
    <n v="22"/>
  </r>
  <r>
    <s v="Marshall Munetsi"/>
    <x v="19"/>
    <x v="2"/>
    <n v="5.4"/>
    <n v="35"/>
    <n v="3.2"/>
    <n v="0.1"/>
    <n v="1"/>
    <n v="2"/>
    <n v="802"/>
    <n v="0"/>
    <n v="18"/>
    <n v="0"/>
    <n v="1"/>
    <n v="38.799999999999997"/>
    <n v="4"/>
    <n v="0"/>
    <n v="0.7"/>
    <n v="6.5"/>
    <n v="1.46"/>
    <n v="0.36"/>
    <n v="1.82"/>
    <n v="12.45"/>
    <n v="8"/>
    <s v="No News"/>
    <n v="172"/>
    <n v="106"/>
    <n v="79"/>
    <n v="39"/>
    <n v="148"/>
    <n v="66"/>
    <n v="471"/>
    <n v="160"/>
  </r>
  <r>
    <s v="Kiernan Dewsbury-Hall"/>
    <x v="9"/>
    <x v="2"/>
    <n v="4.9000000000000004"/>
    <n v="35"/>
    <n v="3.5"/>
    <n v="2.8"/>
    <n v="1"/>
    <n v="2"/>
    <n v="885"/>
    <n v="3"/>
    <n v="12"/>
    <n v="0"/>
    <n v="4"/>
    <n v="50.2"/>
    <n v="3.8"/>
    <n v="1"/>
    <n v="0.8"/>
    <n v="7.1"/>
    <n v="0.83"/>
    <n v="2.4"/>
    <n v="3.23"/>
    <n v="13.31"/>
    <n v="10"/>
    <s v="No News"/>
    <n v="308"/>
    <n v="195"/>
    <n v="92"/>
    <n v="42"/>
    <n v="119"/>
    <n v="53"/>
    <n v="105"/>
    <n v="36"/>
  </r>
  <r>
    <s v="Martin Dúbravka"/>
    <x v="11"/>
    <x v="3"/>
    <n v="4"/>
    <n v="35"/>
    <n v="3.2"/>
    <n v="34.4"/>
    <n v="0"/>
    <n v="0"/>
    <n v="990"/>
    <n v="2"/>
    <n v="22"/>
    <n v="46"/>
    <n v="2"/>
    <n v="34.6"/>
    <n v="3.8"/>
    <n v="1"/>
    <n v="1"/>
    <n v="8.8000000000000007"/>
    <n v="0"/>
    <n v="0"/>
    <n v="0"/>
    <n v="24.26"/>
    <n v="11"/>
    <s v="No News"/>
    <n v="618"/>
    <n v="41"/>
    <n v="86"/>
    <n v="7"/>
    <n v="142"/>
    <n v="15"/>
    <n v="6"/>
    <n v="1"/>
  </r>
  <r>
    <s v="Harry Wilson"/>
    <x v="15"/>
    <x v="2"/>
    <n v="5.2"/>
    <n v="34"/>
    <n v="3.4"/>
    <n v="0.4"/>
    <n v="2"/>
    <n v="1"/>
    <n v="652"/>
    <n v="2"/>
    <n v="7"/>
    <n v="0"/>
    <n v="4"/>
    <n v="39.5"/>
    <n v="3.2"/>
    <n v="0"/>
    <n v="0.6"/>
    <n v="6.5"/>
    <n v="1.1399999999999999"/>
    <n v="0.45"/>
    <n v="1.59"/>
    <n v="6.93"/>
    <n v="8"/>
    <s v="No News"/>
    <n v="214"/>
    <n v="133"/>
    <n v="115"/>
    <n v="53"/>
    <n v="131"/>
    <n v="59"/>
    <n v="279"/>
    <n v="99"/>
  </r>
  <r>
    <s v="Enzo E.Le Fée"/>
    <x v="8"/>
    <x v="2"/>
    <n v="4.9000000000000004"/>
    <n v="34"/>
    <n v="3.4"/>
    <n v="0.4"/>
    <n v="1"/>
    <n v="1"/>
    <n v="692"/>
    <n v="2"/>
    <n v="8"/>
    <n v="0"/>
    <n v="3"/>
    <n v="35.6"/>
    <n v="3.5"/>
    <n v="1"/>
    <n v="0.7"/>
    <n v="6.9"/>
    <n v="0.99"/>
    <n v="0.46"/>
    <n v="1.45"/>
    <n v="9.18"/>
    <n v="8"/>
    <s v="No News"/>
    <n v="334"/>
    <n v="210"/>
    <n v="101"/>
    <n v="47"/>
    <n v="129"/>
    <n v="57"/>
    <n v="278"/>
    <n v="98"/>
  </r>
  <r>
    <s v="Michael Kayode"/>
    <x v="4"/>
    <x v="1"/>
    <n v="4.5"/>
    <n v="34"/>
    <n v="3.1"/>
    <n v="0.4"/>
    <n v="0"/>
    <n v="1"/>
    <n v="952"/>
    <n v="2"/>
    <n v="16"/>
    <n v="0"/>
    <n v="5"/>
    <n v="41.8"/>
    <n v="3.8"/>
    <n v="0"/>
    <n v="0.8"/>
    <n v="7.6"/>
    <n v="0.09"/>
    <n v="1.31"/>
    <n v="1.4"/>
    <n v="13.22"/>
    <n v="11"/>
    <s v="No News"/>
    <n v="478"/>
    <n v="99"/>
    <n v="90"/>
    <n v="33"/>
    <n v="156"/>
    <n v="58"/>
    <n v="254"/>
    <n v="95"/>
  </r>
  <r>
    <s v="Cristian Romero"/>
    <x v="7"/>
    <x v="1"/>
    <n v="5"/>
    <n v="34"/>
    <n v="3.8"/>
    <n v="4.0999999999999996"/>
    <n v="0"/>
    <n v="1"/>
    <n v="747"/>
    <n v="3"/>
    <n v="6"/>
    <n v="0"/>
    <n v="3"/>
    <n v="28"/>
    <n v="0.5"/>
    <n v="1"/>
    <n v="0.1"/>
    <n v="6.8"/>
    <n v="0.41"/>
    <n v="0.26"/>
    <n v="0.67"/>
    <n v="10.77"/>
    <n v="8"/>
    <s v="No News"/>
    <n v="258"/>
    <n v="39"/>
    <n v="320"/>
    <n v="107"/>
    <n v="94"/>
    <n v="39"/>
    <n v="85"/>
    <n v="29"/>
  </r>
  <r>
    <s v="Sepp Van den Berg"/>
    <x v="4"/>
    <x v="1"/>
    <n v="4.5"/>
    <n v="34"/>
    <n v="3.1"/>
    <n v="0.6"/>
    <n v="0"/>
    <n v="0"/>
    <n v="990"/>
    <n v="2"/>
    <n v="17"/>
    <n v="0"/>
    <n v="0"/>
    <n v="39"/>
    <n v="3.5"/>
    <n v="0"/>
    <n v="0.8"/>
    <n v="7.6"/>
    <n v="1.73"/>
    <n v="0.16"/>
    <n v="1.89"/>
    <n v="13.51"/>
    <n v="11"/>
    <s v="No News"/>
    <n v="423"/>
    <n v="88"/>
    <n v="99"/>
    <n v="36"/>
    <n v="155"/>
    <n v="57"/>
    <n v="226"/>
    <n v="83"/>
  </r>
  <r>
    <s v="Chemsdine Talbi"/>
    <x v="8"/>
    <x v="2"/>
    <n v="5"/>
    <n v="34"/>
    <n v="3.1"/>
    <n v="0.3"/>
    <n v="1"/>
    <n v="2"/>
    <n v="587"/>
    <n v="4"/>
    <n v="3"/>
    <n v="0"/>
    <n v="2"/>
    <n v="25.2"/>
    <n v="3.5"/>
    <n v="0"/>
    <n v="0.7"/>
    <n v="6.8"/>
    <n v="1.02"/>
    <n v="0.3"/>
    <n v="1.31"/>
    <n v="7.65"/>
    <n v="6"/>
    <s v="No News"/>
    <n v="282"/>
    <n v="176"/>
    <n v="103"/>
    <n v="48"/>
    <n v="158"/>
    <n v="70"/>
    <n v="326"/>
    <n v="112"/>
  </r>
  <r>
    <s v="Bernd Leno"/>
    <x v="15"/>
    <x v="3"/>
    <n v="5"/>
    <n v="34"/>
    <n v="3.1"/>
    <n v="1.6"/>
    <n v="0"/>
    <n v="0"/>
    <n v="990"/>
    <n v="2"/>
    <n v="16"/>
    <n v="33"/>
    <n v="2"/>
    <n v="26.5"/>
    <n v="3.5"/>
    <n v="1"/>
    <n v="0.7"/>
    <n v="6.8"/>
    <n v="0"/>
    <n v="0"/>
    <n v="0"/>
    <n v="14.77"/>
    <n v="11"/>
    <s v="No News"/>
    <n v="241"/>
    <n v="7"/>
    <n v="102"/>
    <n v="10"/>
    <n v="157"/>
    <n v="17"/>
    <n v="146"/>
    <n v="19"/>
  </r>
  <r>
    <s v="Joško Gvardiol"/>
    <x v="0"/>
    <x v="1"/>
    <n v="5.8"/>
    <n v="34"/>
    <n v="4.9000000000000004"/>
    <n v="5.0999999999999996"/>
    <n v="0"/>
    <n v="1"/>
    <n v="609"/>
    <n v="3"/>
    <n v="4"/>
    <n v="0"/>
    <n v="3"/>
    <n v="21.3"/>
    <n v="2.5"/>
    <n v="1"/>
    <n v="0.4"/>
    <n v="5.9"/>
    <n v="0.17"/>
    <n v="0.28000000000000003"/>
    <n v="0.45"/>
    <n v="5.95"/>
    <n v="7"/>
    <s v="No News"/>
    <n v="115"/>
    <n v="10"/>
    <n v="158"/>
    <n v="59"/>
    <n v="36"/>
    <n v="21"/>
    <n v="69"/>
    <n v="23"/>
  </r>
  <r>
    <s v="Tijjani Reijnders"/>
    <x v="0"/>
    <x v="2"/>
    <n v="5.5"/>
    <n v="34"/>
    <n v="3.4"/>
    <n v="20"/>
    <n v="1"/>
    <n v="2"/>
    <n v="757"/>
    <n v="3"/>
    <n v="7"/>
    <n v="0"/>
    <n v="2"/>
    <n v="46.3"/>
    <n v="0.8"/>
    <n v="1"/>
    <n v="0.1"/>
    <n v="6.2"/>
    <n v="1.47"/>
    <n v="0.61"/>
    <n v="2.08"/>
    <n v="9.0500000000000007"/>
    <n v="9"/>
    <s v="No News"/>
    <n v="143"/>
    <n v="92"/>
    <n v="300"/>
    <n v="149"/>
    <n v="132"/>
    <n v="60"/>
    <n v="20"/>
    <n v="7"/>
  </r>
  <r>
    <s v="Ezri Konsa"/>
    <x v="12"/>
    <x v="1"/>
    <n v="4.4000000000000004"/>
    <n v="33"/>
    <n v="3.3"/>
    <n v="8.4"/>
    <n v="0"/>
    <n v="0"/>
    <n v="875"/>
    <n v="4"/>
    <n v="9"/>
    <n v="0"/>
    <n v="0"/>
    <n v="23.9"/>
    <n v="4.2"/>
    <n v="0"/>
    <n v="1"/>
    <n v="7.5"/>
    <n v="0.04"/>
    <n v="0.15"/>
    <n v="0.19"/>
    <n v="12.98"/>
    <n v="10"/>
    <s v="No News"/>
    <n v="501"/>
    <n v="112"/>
    <n v="70"/>
    <n v="26"/>
    <n v="135"/>
    <n v="48"/>
    <n v="46"/>
    <n v="15"/>
  </r>
  <r>
    <s v="Yehor Yarmoliuk"/>
    <x v="4"/>
    <x v="2"/>
    <n v="5"/>
    <n v="33"/>
    <n v="3"/>
    <n v="0.1"/>
    <n v="0"/>
    <n v="1"/>
    <n v="868"/>
    <n v="2"/>
    <n v="15"/>
    <n v="0"/>
    <n v="0"/>
    <n v="28.4"/>
    <n v="2.5"/>
    <n v="0"/>
    <n v="0.5"/>
    <n v="6.6"/>
    <n v="0.28999999999999998"/>
    <n v="0.44"/>
    <n v="0.73"/>
    <n v="11.63"/>
    <n v="11"/>
    <s v="No News"/>
    <n v="280"/>
    <n v="174"/>
    <n v="154"/>
    <n v="65"/>
    <n v="166"/>
    <n v="73"/>
    <n v="505"/>
    <n v="178"/>
  </r>
  <r>
    <s v="Harry Maguire"/>
    <x v="6"/>
    <x v="1"/>
    <n v="4.4000000000000004"/>
    <n v="33"/>
    <n v="4.0999999999999996"/>
    <n v="0.8"/>
    <n v="1"/>
    <n v="1"/>
    <n v="341"/>
    <n v="2"/>
    <n v="4"/>
    <n v="0"/>
    <n v="3"/>
    <n v="14.3"/>
    <n v="4.2"/>
    <n v="1"/>
    <n v="1"/>
    <n v="7.5"/>
    <n v="0.32"/>
    <n v="0.02"/>
    <n v="0.34"/>
    <n v="6.7"/>
    <n v="4"/>
    <s v="Hamstring injury - 75% chance of playing"/>
    <n v="494"/>
    <n v="105"/>
    <n v="69"/>
    <n v="25"/>
    <n v="70"/>
    <n v="31"/>
    <n v="194"/>
    <n v="73"/>
  </r>
  <r>
    <s v="Mikkel Damsgaard"/>
    <x v="4"/>
    <x v="2"/>
    <n v="5.8"/>
    <n v="33"/>
    <n v="3.7"/>
    <n v="0.6"/>
    <n v="1"/>
    <n v="1"/>
    <n v="715"/>
    <n v="2"/>
    <n v="11"/>
    <n v="0"/>
    <n v="3"/>
    <n v="48.8"/>
    <n v="3.5"/>
    <n v="0"/>
    <n v="0.6"/>
    <n v="5.7"/>
    <n v="0.53"/>
    <n v="1.5"/>
    <n v="2.0299999999999998"/>
    <n v="9.4700000000000006"/>
    <n v="9"/>
    <s v="No News"/>
    <n v="111"/>
    <n v="75"/>
    <n v="105"/>
    <n v="50"/>
    <n v="104"/>
    <n v="43"/>
    <n v="216"/>
    <n v="75"/>
  </r>
  <r>
    <s v="Donyell Malen"/>
    <x v="12"/>
    <x v="2"/>
    <n v="5.0999999999999996"/>
    <n v="32"/>
    <n v="2.9"/>
    <n v="0.7"/>
    <n v="3"/>
    <n v="0"/>
    <n v="332"/>
    <n v="0"/>
    <n v="6"/>
    <n v="0"/>
    <n v="3"/>
    <n v="27.9"/>
    <n v="2.5"/>
    <n v="1"/>
    <n v="0.5"/>
    <n v="6.3"/>
    <n v="1.47"/>
    <n v="0.14000000000000001"/>
    <n v="1.61"/>
    <n v="4.72"/>
    <n v="3"/>
    <s v="No News"/>
    <n v="232"/>
    <n v="144"/>
    <n v="155"/>
    <n v="66"/>
    <n v="173"/>
    <n v="77"/>
    <n v="202"/>
    <n v="68"/>
  </r>
  <r>
    <s v="Caoimhín Kelleher"/>
    <x v="4"/>
    <x v="3"/>
    <n v="4.5"/>
    <n v="32"/>
    <n v="2.9"/>
    <n v="7.8"/>
    <n v="0"/>
    <n v="0"/>
    <n v="990"/>
    <n v="2"/>
    <n v="17"/>
    <n v="25"/>
    <n v="0"/>
    <n v="22.2"/>
    <n v="2.8"/>
    <n v="0"/>
    <n v="0.6"/>
    <n v="7.1"/>
    <n v="0"/>
    <n v="0.01"/>
    <n v="0.01"/>
    <n v="13.51"/>
    <n v="11"/>
    <s v="No News"/>
    <n v="404"/>
    <n v="23"/>
    <n v="137"/>
    <n v="14"/>
    <n v="170"/>
    <n v="18"/>
    <n v="50"/>
    <n v="9"/>
  </r>
  <r>
    <s v="Daichi Kamada"/>
    <x v="3"/>
    <x v="2"/>
    <n v="5"/>
    <n v="32"/>
    <n v="3.6"/>
    <n v="0.2"/>
    <n v="0"/>
    <n v="2"/>
    <n v="758"/>
    <n v="4"/>
    <n v="7"/>
    <n v="0"/>
    <n v="0"/>
    <n v="25"/>
    <n v="3"/>
    <n v="0"/>
    <n v="0.6"/>
    <n v="6.4"/>
    <n v="0.67"/>
    <n v="1.02"/>
    <n v="1.69"/>
    <n v="9.6"/>
    <n v="9"/>
    <s v="No News"/>
    <n v="254"/>
    <n v="157"/>
    <n v="124"/>
    <n v="57"/>
    <n v="111"/>
    <n v="46"/>
    <n v="399"/>
    <n v="134"/>
  </r>
  <r>
    <s v="Nathan Collins"/>
    <x v="4"/>
    <x v="1"/>
    <n v="4.9000000000000004"/>
    <n v="32"/>
    <n v="2.9"/>
    <n v="1.1000000000000001"/>
    <n v="0"/>
    <n v="0"/>
    <n v="990"/>
    <n v="2"/>
    <n v="17"/>
    <n v="0"/>
    <n v="2"/>
    <n v="38.299999999999997"/>
    <n v="3.5"/>
    <n v="0"/>
    <n v="0.7"/>
    <n v="6.5"/>
    <n v="0.37"/>
    <n v="0.73"/>
    <n v="1.1000000000000001"/>
    <n v="13.51"/>
    <n v="11"/>
    <s v="No News"/>
    <n v="319"/>
    <n v="52"/>
    <n v="100"/>
    <n v="37"/>
    <n v="171"/>
    <n v="63"/>
    <n v="173"/>
    <n v="66"/>
  </r>
  <r>
    <s v="Sandro Tonali"/>
    <x v="13"/>
    <x v="2"/>
    <n v="5.4"/>
    <n v="32"/>
    <n v="2.9"/>
    <n v="1.3"/>
    <n v="0"/>
    <n v="1"/>
    <n v="869"/>
    <n v="5"/>
    <n v="9"/>
    <n v="0"/>
    <n v="1"/>
    <n v="46.9"/>
    <n v="2.2000000000000002"/>
    <n v="0"/>
    <n v="0.4"/>
    <n v="5.9"/>
    <n v="0.45"/>
    <n v="1.1100000000000001"/>
    <n v="1.56"/>
    <n v="8.14"/>
    <n v="10"/>
    <s v="No News"/>
    <n v="171"/>
    <n v="105"/>
    <n v="175"/>
    <n v="82"/>
    <n v="174"/>
    <n v="78"/>
    <n v="159"/>
    <n v="55"/>
  </r>
  <r>
    <s v="Lesley Ugochukwu"/>
    <x v="11"/>
    <x v="2"/>
    <n v="5"/>
    <n v="32"/>
    <n v="3.2"/>
    <n v="0.1"/>
    <n v="2"/>
    <n v="1"/>
    <n v="588"/>
    <n v="2"/>
    <n v="11"/>
    <n v="0"/>
    <n v="3"/>
    <n v="24.8"/>
    <n v="4.8"/>
    <n v="0"/>
    <n v="1"/>
    <n v="6.4"/>
    <n v="0.94"/>
    <n v="0.09"/>
    <n v="1.03"/>
    <n v="14.83"/>
    <n v="7"/>
    <s v="No News"/>
    <n v="279"/>
    <n v="173"/>
    <n v="51"/>
    <n v="26"/>
    <n v="147"/>
    <n v="65"/>
    <n v="401"/>
    <n v="135"/>
  </r>
  <r>
    <s v="Dan Ndoye"/>
    <x v="18"/>
    <x v="2"/>
    <n v="5.7"/>
    <n v="32"/>
    <n v="3.2"/>
    <n v="1.2"/>
    <n v="1"/>
    <n v="2"/>
    <n v="755"/>
    <n v="0"/>
    <n v="13"/>
    <n v="0"/>
    <n v="4"/>
    <n v="34.4"/>
    <n v="2"/>
    <n v="0"/>
    <n v="0.4"/>
    <n v="5.6"/>
    <n v="0.34"/>
    <n v="1.17"/>
    <n v="1.51"/>
    <n v="9.76"/>
    <n v="10"/>
    <s v="No News"/>
    <n v="123"/>
    <n v="80"/>
    <n v="192"/>
    <n v="94"/>
    <n v="150"/>
    <n v="68"/>
    <n v="163"/>
    <n v="57"/>
  </r>
  <r>
    <s v="Sven Botman"/>
    <x v="13"/>
    <x v="1"/>
    <n v="4.9000000000000004"/>
    <n v="31"/>
    <n v="3.4"/>
    <n v="0.6"/>
    <n v="0"/>
    <n v="0"/>
    <n v="642"/>
    <n v="3"/>
    <n v="10"/>
    <n v="0"/>
    <n v="4"/>
    <n v="23.7"/>
    <n v="1.2"/>
    <n v="0"/>
    <n v="0.2"/>
    <n v="6.3"/>
    <n v="0.13"/>
    <n v="0.25"/>
    <n v="0.38"/>
    <n v="8.82"/>
    <n v="8"/>
    <s v="No News"/>
    <n v="309"/>
    <n v="48"/>
    <n v="248"/>
    <n v="83"/>
    <n v="128"/>
    <n v="46"/>
    <n v="220"/>
    <n v="81"/>
  </r>
  <r>
    <s v="Benjamin Šeško"/>
    <x v="6"/>
    <x v="0"/>
    <n v="7.3"/>
    <n v="31"/>
    <n v="2.8"/>
    <n v="4.8"/>
    <n v="2"/>
    <n v="1"/>
    <n v="616"/>
    <n v="1"/>
    <n v="13"/>
    <n v="0"/>
    <n v="5"/>
    <n v="43.5"/>
    <n v="2"/>
    <n v="1"/>
    <n v="0.3"/>
    <n v="4.2"/>
    <n v="1.97"/>
    <n v="0.16"/>
    <n v="2.13"/>
    <n v="10.8"/>
    <n v="6"/>
    <s v="Knee injury - 75% chance of playing"/>
    <n v="29"/>
    <n v="12"/>
    <n v="198"/>
    <n v="20"/>
    <n v="189"/>
    <n v="19"/>
    <n v="73"/>
    <n v="14"/>
  </r>
  <r>
    <s v="El Hadji Malick Diouf"/>
    <x v="16"/>
    <x v="1"/>
    <n v="4.3"/>
    <n v="31"/>
    <n v="2.8"/>
    <n v="3.1"/>
    <n v="0"/>
    <n v="4"/>
    <n v="945"/>
    <n v="1"/>
    <n v="22"/>
    <n v="0"/>
    <n v="1"/>
    <n v="38.6"/>
    <n v="1.2"/>
    <n v="0"/>
    <n v="0.3"/>
    <n v="7.2"/>
    <n v="0.22"/>
    <n v="0.79"/>
    <n v="1.01"/>
    <n v="15.16"/>
    <n v="10"/>
    <s v="No News"/>
    <n v="608"/>
    <n v="156"/>
    <n v="241"/>
    <n v="77"/>
    <n v="177"/>
    <n v="64"/>
    <n v="99"/>
    <n v="35"/>
  </r>
  <r>
    <s v="Phil Foden"/>
    <x v="0"/>
    <x v="2"/>
    <n v="8"/>
    <n v="31"/>
    <n v="3.4"/>
    <n v="4.4000000000000004"/>
    <n v="1"/>
    <n v="1"/>
    <n v="711"/>
    <n v="5"/>
    <n v="3"/>
    <n v="0"/>
    <n v="2"/>
    <n v="59.7"/>
    <n v="2.8"/>
    <n v="1"/>
    <n v="0.4"/>
    <n v="3.9"/>
    <n v="1.21"/>
    <n v="1.6"/>
    <n v="2.81"/>
    <n v="6.87"/>
    <n v="8"/>
    <s v="No News"/>
    <n v="14"/>
    <n v="9"/>
    <n v="146"/>
    <n v="63"/>
    <n v="133"/>
    <n v="61"/>
    <n v="81"/>
    <n v="26"/>
  </r>
  <r>
    <s v="Gianluigi Donnarumma"/>
    <x v="0"/>
    <x v="3"/>
    <n v="5.7"/>
    <n v="31"/>
    <n v="3.9"/>
    <n v="10"/>
    <n v="0"/>
    <n v="0"/>
    <n v="720"/>
    <n v="4"/>
    <n v="4"/>
    <n v="15"/>
    <n v="0"/>
    <n v="10.199999999999999"/>
    <n v="4"/>
    <n v="0"/>
    <n v="0.7"/>
    <n v="5.4"/>
    <n v="0"/>
    <n v="0"/>
    <n v="0"/>
    <n v="6.76"/>
    <n v="8"/>
    <s v="No News"/>
    <n v="119"/>
    <n v="2"/>
    <n v="82"/>
    <n v="6"/>
    <n v="86"/>
    <n v="7"/>
    <n v="39"/>
    <n v="5"/>
  </r>
  <r>
    <s v="Djed Spence"/>
    <x v="7"/>
    <x v="1"/>
    <n v="4.5"/>
    <n v="31"/>
    <n v="3.1"/>
    <n v="1.6"/>
    <n v="0"/>
    <n v="0"/>
    <n v="758"/>
    <n v="4"/>
    <n v="7"/>
    <n v="0"/>
    <n v="0"/>
    <n v="18.100000000000001"/>
    <n v="2.5"/>
    <n v="0"/>
    <n v="0.6"/>
    <n v="6.9"/>
    <n v="0.18"/>
    <n v="0.22"/>
    <n v="0.4"/>
    <n v="11.71"/>
    <n v="9"/>
    <s v="No News"/>
    <n v="412"/>
    <n v="82"/>
    <n v="150"/>
    <n v="56"/>
    <n v="154"/>
    <n v="56"/>
    <n v="145"/>
    <n v="57"/>
  </r>
  <r>
    <s v="Bafodé Diakité"/>
    <x v="2"/>
    <x v="1"/>
    <n v="4.5"/>
    <n v="30"/>
    <n v="3.8"/>
    <n v="0.4"/>
    <n v="0"/>
    <n v="0"/>
    <n v="720"/>
    <n v="3"/>
    <n v="13"/>
    <n v="0"/>
    <n v="2"/>
    <n v="21.3"/>
    <n v="1"/>
    <n v="1"/>
    <n v="0.2"/>
    <n v="6.7"/>
    <n v="0"/>
    <n v="0.09"/>
    <n v="0.09"/>
    <n v="12.38"/>
    <n v="8"/>
    <s v="No News"/>
    <n v="415"/>
    <n v="84"/>
    <n v="266"/>
    <n v="91"/>
    <n v="92"/>
    <n v="38"/>
    <n v="253"/>
    <n v="94"/>
  </r>
  <r>
    <s v="John McGinn"/>
    <x v="12"/>
    <x v="2"/>
    <n v="5.4"/>
    <n v="30"/>
    <n v="2.7"/>
    <n v="0.6"/>
    <n v="1"/>
    <n v="0"/>
    <n v="837"/>
    <n v="5"/>
    <n v="8"/>
    <n v="0"/>
    <n v="0"/>
    <n v="41.4"/>
    <n v="2.2000000000000002"/>
    <n v="0"/>
    <n v="0.4"/>
    <n v="5.6"/>
    <n v="0.96"/>
    <n v="1.24"/>
    <n v="2.2000000000000002"/>
    <n v="12.11"/>
    <n v="11"/>
    <s v="No News"/>
    <n v="159"/>
    <n v="98"/>
    <n v="174"/>
    <n v="81"/>
    <n v="192"/>
    <n v="85"/>
    <n v="215"/>
    <n v="74"/>
  </r>
  <r>
    <s v="Georginio Georginio"/>
    <x v="14"/>
    <x v="2"/>
    <n v="5.7"/>
    <n v="30"/>
    <n v="3"/>
    <n v="0.4"/>
    <n v="0"/>
    <n v="3"/>
    <n v="678"/>
    <n v="4"/>
    <n v="7"/>
    <n v="0"/>
    <n v="1"/>
    <n v="31.1"/>
    <n v="3.5"/>
    <n v="0"/>
    <n v="0.6"/>
    <n v="5.3"/>
    <n v="0.42"/>
    <n v="1.31"/>
    <n v="1.73"/>
    <n v="7.32"/>
    <n v="8"/>
    <s v="No News"/>
    <n v="124"/>
    <n v="81"/>
    <n v="104"/>
    <n v="49"/>
    <n v="168"/>
    <n v="75"/>
    <n v="256"/>
    <n v="90"/>
  </r>
  <r>
    <s v="Kieran Trippier"/>
    <x v="13"/>
    <x v="1"/>
    <n v="5"/>
    <n v="30"/>
    <n v="3.3"/>
    <n v="2.5"/>
    <n v="0"/>
    <n v="0"/>
    <n v="699"/>
    <n v="4"/>
    <n v="10"/>
    <n v="0"/>
    <n v="2"/>
    <n v="34.6"/>
    <n v="0.8"/>
    <n v="0"/>
    <n v="0.2"/>
    <n v="6"/>
    <n v="0"/>
    <n v="0.9"/>
    <n v="0.9"/>
    <n v="7.51"/>
    <n v="8"/>
    <s v="No News"/>
    <n v="240"/>
    <n v="36"/>
    <n v="291"/>
    <n v="99"/>
    <n v="136"/>
    <n v="49"/>
    <n v="112"/>
    <n v="42"/>
  </r>
  <r>
    <s v="Junior Kroupi.Jr"/>
    <x v="2"/>
    <x v="0"/>
    <n v="4.5999999999999996"/>
    <n v="30"/>
    <n v="3.8"/>
    <n v="4.7"/>
    <n v="4"/>
    <n v="0"/>
    <n v="251"/>
    <n v="1"/>
    <n v="8"/>
    <n v="0"/>
    <n v="4"/>
    <n v="30.8"/>
    <n v="5.2"/>
    <n v="0"/>
    <n v="1.1000000000000001"/>
    <n v="6.5"/>
    <n v="1.81"/>
    <n v="0.13"/>
    <n v="1.94"/>
    <n v="5.69"/>
    <n v="3"/>
    <s v="No News"/>
    <n v="390"/>
    <n v="60"/>
    <n v="34"/>
    <n v="5"/>
    <n v="93"/>
    <n v="10"/>
    <n v="76"/>
    <n v="15"/>
  </r>
  <r>
    <s v="Jordan Henderson"/>
    <x v="4"/>
    <x v="2"/>
    <n v="5"/>
    <n v="29"/>
    <n v="2.6"/>
    <n v="0.4"/>
    <n v="0"/>
    <n v="2"/>
    <n v="829"/>
    <n v="3"/>
    <n v="12"/>
    <n v="0"/>
    <n v="2"/>
    <n v="30.6"/>
    <n v="1.8"/>
    <n v="0"/>
    <n v="0.4"/>
    <n v="5.8"/>
    <n v="7.0000000000000007E-2"/>
    <n v="0.83"/>
    <n v="0.9"/>
    <n v="9.9700000000000006"/>
    <n v="10"/>
    <s v="No News"/>
    <n v="239"/>
    <n v="150"/>
    <n v="211"/>
    <n v="106"/>
    <n v="199"/>
    <n v="90"/>
    <n v="264"/>
    <n v="93"/>
  </r>
  <r>
    <s v="Estêvão Estêvão"/>
    <x v="5"/>
    <x v="2"/>
    <n v="6.5"/>
    <n v="29"/>
    <n v="2.9"/>
    <n v="2.5"/>
    <n v="1"/>
    <n v="3"/>
    <n v="337"/>
    <n v="2"/>
    <n v="2"/>
    <n v="0"/>
    <n v="2"/>
    <n v="38.1"/>
    <n v="2.2000000000000002"/>
    <n v="0"/>
    <n v="0.3"/>
    <n v="4.5"/>
    <n v="1.75"/>
    <n v="1.78"/>
    <n v="3.53"/>
    <n v="2.14"/>
    <n v="4"/>
    <s v="No News"/>
    <n v="60"/>
    <n v="40"/>
    <n v="179"/>
    <n v="85"/>
    <n v="176"/>
    <n v="80"/>
    <n v="113"/>
    <n v="39"/>
  </r>
  <r>
    <s v="Noah Okafor"/>
    <x v="17"/>
    <x v="2"/>
    <n v="5.5"/>
    <n v="29"/>
    <n v="3.6"/>
    <n v="0.2"/>
    <n v="2"/>
    <n v="1"/>
    <n v="515"/>
    <n v="1"/>
    <n v="11"/>
    <n v="0"/>
    <n v="3"/>
    <n v="31.3"/>
    <n v="2"/>
    <n v="0"/>
    <n v="0.4"/>
    <n v="5.3"/>
    <n v="1.36"/>
    <n v="0.48"/>
    <n v="1.84"/>
    <n v="9.01"/>
    <n v="7"/>
    <s v="No News"/>
    <n v="144"/>
    <n v="93"/>
    <n v="190"/>
    <n v="92"/>
    <n v="112"/>
    <n v="47"/>
    <n v="378"/>
    <n v="130"/>
  </r>
  <r>
    <s v="Yasin Ayari"/>
    <x v="14"/>
    <x v="2"/>
    <n v="4.9000000000000004"/>
    <n v="29"/>
    <n v="2.6"/>
    <n v="0.3"/>
    <n v="1"/>
    <n v="0"/>
    <n v="871"/>
    <n v="2"/>
    <n v="12"/>
    <n v="0"/>
    <n v="2"/>
    <n v="37.200000000000003"/>
    <n v="2.2000000000000002"/>
    <n v="0"/>
    <n v="0.4"/>
    <n v="5.9"/>
    <n v="0.99"/>
    <n v="0.5"/>
    <n v="1.49"/>
    <n v="10.48"/>
    <n v="9"/>
    <s v="No News"/>
    <n v="338"/>
    <n v="213"/>
    <n v="171"/>
    <n v="78"/>
    <n v="198"/>
    <n v="89"/>
    <n v="311"/>
    <n v="109"/>
  </r>
  <r>
    <s v="Kyle Walker"/>
    <x v="11"/>
    <x v="1"/>
    <n v="4.4000000000000004"/>
    <n v="29"/>
    <n v="2.6"/>
    <n v="1.6"/>
    <n v="0"/>
    <n v="1"/>
    <n v="990"/>
    <n v="2"/>
    <n v="22"/>
    <n v="0"/>
    <n v="3"/>
    <n v="25.6"/>
    <n v="4.5"/>
    <n v="1"/>
    <n v="1"/>
    <n v="6.6"/>
    <n v="0.12"/>
    <n v="0.45"/>
    <n v="0.56999999999999995"/>
    <n v="24.26"/>
    <n v="11"/>
    <s v="No News"/>
    <n v="492"/>
    <n v="103"/>
    <n v="59"/>
    <n v="20"/>
    <n v="195"/>
    <n v="70"/>
    <n v="143"/>
    <n v="56"/>
  </r>
  <r>
    <s v="Lewis Dunk"/>
    <x v="14"/>
    <x v="1"/>
    <n v="4.5"/>
    <n v="29"/>
    <n v="2.6"/>
    <n v="1.1000000000000001"/>
    <n v="0"/>
    <n v="1"/>
    <n v="990"/>
    <n v="2"/>
    <n v="15"/>
    <n v="0"/>
    <n v="0"/>
    <n v="24.3"/>
    <n v="3.5"/>
    <n v="0"/>
    <n v="0.8"/>
    <n v="6.4"/>
    <n v="0.56000000000000005"/>
    <n v="0.08"/>
    <n v="0.64"/>
    <n v="13.2"/>
    <n v="11"/>
    <s v="No News"/>
    <n v="393"/>
    <n v="70"/>
    <n v="98"/>
    <n v="35"/>
    <n v="196"/>
    <n v="71"/>
    <n v="170"/>
    <n v="63"/>
  </r>
  <r>
    <s v="Diego Gomez"/>
    <x v="14"/>
    <x v="2"/>
    <n v="4.9000000000000004"/>
    <n v="28"/>
    <n v="2.8"/>
    <n v="0.2"/>
    <n v="2"/>
    <n v="0"/>
    <n v="538"/>
    <n v="2"/>
    <n v="7"/>
    <n v="0"/>
    <n v="3"/>
    <n v="46.5"/>
    <n v="5.2"/>
    <n v="1"/>
    <n v="1.1000000000000001"/>
    <n v="5.7"/>
    <n v="1.84"/>
    <n v="0.43"/>
    <n v="2.27"/>
    <n v="6.27"/>
    <n v="6"/>
    <s v="No News"/>
    <n v="340"/>
    <n v="214"/>
    <n v="35"/>
    <n v="16"/>
    <n v="181"/>
    <n v="81"/>
    <n v="358"/>
    <n v="123"/>
  </r>
  <r>
    <s v="Lyle Foster"/>
    <x v="11"/>
    <x v="0"/>
    <n v="5"/>
    <n v="28"/>
    <n v="3.5"/>
    <n v="1.7"/>
    <n v="2"/>
    <n v="1"/>
    <n v="578"/>
    <n v="2"/>
    <n v="12"/>
    <n v="0"/>
    <n v="4"/>
    <n v="27.4"/>
    <n v="1.8"/>
    <n v="0"/>
    <n v="0.4"/>
    <n v="5.6"/>
    <n v="1.3"/>
    <n v="0.13"/>
    <n v="1.43"/>
    <n v="11.48"/>
    <n v="7"/>
    <s v="No News"/>
    <n v="266"/>
    <n v="52"/>
    <n v="212"/>
    <n v="21"/>
    <n v="122"/>
    <n v="13"/>
    <n v="138"/>
    <n v="20"/>
  </r>
  <r>
    <s v="Florentino Ibrain Florentino"/>
    <x v="11"/>
    <x v="2"/>
    <n v="5"/>
    <n v="28"/>
    <n v="3.5"/>
    <n v="0.1"/>
    <n v="0"/>
    <n v="1"/>
    <n v="657"/>
    <n v="1"/>
    <n v="16"/>
    <n v="0"/>
    <n v="0"/>
    <n v="26.7"/>
    <n v="4"/>
    <n v="0"/>
    <n v="0.8"/>
    <n v="5.6"/>
    <n v="0.48"/>
    <n v="0.11"/>
    <n v="0.59"/>
    <n v="16.28"/>
    <n v="7"/>
    <s v="No News"/>
    <n v="256"/>
    <n v="159"/>
    <n v="78"/>
    <n v="38"/>
    <n v="121"/>
    <n v="54"/>
    <n v="552"/>
    <n v="206"/>
  </r>
  <r>
    <s v="Mateus Gonçalo M.Fernandes"/>
    <x v="16"/>
    <x v="2"/>
    <n v="5.5"/>
    <n v="28"/>
    <n v="3.1"/>
    <n v="0.1"/>
    <n v="1"/>
    <n v="1"/>
    <n v="642"/>
    <n v="1"/>
    <n v="11"/>
    <n v="0"/>
    <n v="2"/>
    <n v="35.700000000000003"/>
    <n v="3.8"/>
    <n v="0"/>
    <n v="0.7"/>
    <n v="5.0999999999999996"/>
    <n v="0.49"/>
    <n v="0.66"/>
    <n v="1.1499999999999999"/>
    <n v="9.9700000000000006"/>
    <n v="8"/>
    <s v="No News"/>
    <n v="152"/>
    <n v="96"/>
    <n v="94"/>
    <n v="43"/>
    <n v="160"/>
    <n v="71"/>
    <n v="534"/>
    <n v="193"/>
  </r>
  <r>
    <s v="Jayden Bogle"/>
    <x v="17"/>
    <x v="1"/>
    <n v="4.5"/>
    <n v="28"/>
    <n v="2.5"/>
    <n v="0.2"/>
    <n v="0"/>
    <n v="1"/>
    <n v="958"/>
    <n v="2"/>
    <n v="19"/>
    <n v="0"/>
    <n v="0"/>
    <n v="28.3"/>
    <n v="1.2"/>
    <n v="0"/>
    <n v="0.3"/>
    <n v="6.2"/>
    <n v="0.66"/>
    <n v="0.44"/>
    <n v="1.1000000000000001"/>
    <n v="13.4"/>
    <n v="11"/>
    <s v="No News"/>
    <n v="410"/>
    <n v="80"/>
    <n v="244"/>
    <n v="79"/>
    <n v="206"/>
    <n v="75"/>
    <n v="360"/>
    <n v="128"/>
  </r>
  <r>
    <s v="Jake O'Brien"/>
    <x v="9"/>
    <x v="1"/>
    <n v="4.9000000000000004"/>
    <n v="28"/>
    <n v="2.5"/>
    <n v="0.4"/>
    <n v="0"/>
    <n v="0"/>
    <n v="868"/>
    <n v="2"/>
    <n v="12"/>
    <n v="0"/>
    <n v="1"/>
    <n v="26.5"/>
    <n v="1.2"/>
    <n v="0"/>
    <n v="0.2"/>
    <n v="5.7"/>
    <n v="0.41"/>
    <n v="0.21"/>
    <n v="0.62"/>
    <n v="15.01"/>
    <n v="10"/>
    <s v="No News"/>
    <n v="339"/>
    <n v="57"/>
    <n v="250"/>
    <n v="85"/>
    <n v="209"/>
    <n v="77"/>
    <n v="255"/>
    <n v="96"/>
  </r>
  <r>
    <s v="Calvin Bassey"/>
    <x v="15"/>
    <x v="1"/>
    <n v="4.5"/>
    <n v="28"/>
    <n v="2.5"/>
    <n v="0.6"/>
    <n v="0"/>
    <n v="0"/>
    <n v="908"/>
    <n v="2"/>
    <n v="15"/>
    <n v="0"/>
    <n v="3"/>
    <n v="20.9"/>
    <n v="2.5"/>
    <n v="0"/>
    <n v="0.6"/>
    <n v="6.2"/>
    <n v="0.16"/>
    <n v="0.08"/>
    <n v="0.24"/>
    <n v="13.47"/>
    <n v="10"/>
    <s v="No News"/>
    <n v="413"/>
    <n v="83"/>
    <n v="151"/>
    <n v="57"/>
    <n v="207"/>
    <n v="76"/>
    <n v="229"/>
    <n v="84"/>
  </r>
  <r>
    <s v="Luke Shaw"/>
    <x v="6"/>
    <x v="1"/>
    <n v="4.5"/>
    <n v="28"/>
    <n v="2.5"/>
    <n v="0.5"/>
    <n v="0"/>
    <n v="1"/>
    <n v="933"/>
    <n v="2"/>
    <n v="15"/>
    <n v="0"/>
    <n v="0"/>
    <n v="20.5"/>
    <n v="3.2"/>
    <n v="0"/>
    <n v="0.7"/>
    <n v="6.2"/>
    <n v="0.08"/>
    <n v="0.17"/>
    <n v="0.25"/>
    <n v="15.46"/>
    <n v="11"/>
    <s v="No News"/>
    <n v="397"/>
    <n v="73"/>
    <n v="109"/>
    <n v="41"/>
    <n v="205"/>
    <n v="74"/>
    <n v="241"/>
    <n v="87"/>
  </r>
  <r>
    <s v="Maxime Estève"/>
    <x v="11"/>
    <x v="1"/>
    <n v="4"/>
    <n v="28"/>
    <n v="2.5"/>
    <n v="12"/>
    <n v="0"/>
    <n v="0"/>
    <n v="982"/>
    <n v="2"/>
    <n v="22"/>
    <n v="0"/>
    <n v="0"/>
    <n v="29.6"/>
    <n v="3.2"/>
    <n v="0"/>
    <n v="0.8"/>
    <n v="7"/>
    <n v="0.19"/>
    <n v="0.34"/>
    <n v="0.53"/>
    <n v="24.15"/>
    <n v="11"/>
    <s v="No News"/>
    <n v="659"/>
    <n v="179"/>
    <n v="107"/>
    <n v="39"/>
    <n v="203"/>
    <n v="73"/>
    <n v="34"/>
    <n v="11"/>
  </r>
  <r>
    <s v="Brennan Johnson"/>
    <x v="7"/>
    <x v="2"/>
    <n v="6.7"/>
    <n v="28"/>
    <n v="2.5"/>
    <n v="3"/>
    <n v="2"/>
    <n v="0"/>
    <n v="467"/>
    <n v="3"/>
    <n v="3"/>
    <n v="0"/>
    <n v="2"/>
    <n v="25.1"/>
    <n v="1.5"/>
    <n v="0"/>
    <n v="0.2"/>
    <n v="4.2"/>
    <n v="0.96"/>
    <n v="0.25"/>
    <n v="1.21"/>
    <n v="8.02"/>
    <n v="5"/>
    <s v="No News"/>
    <n v="47"/>
    <n v="31"/>
    <n v="235"/>
    <n v="115"/>
    <n v="213"/>
    <n v="97"/>
    <n v="100"/>
    <n v="33"/>
  </r>
  <r>
    <s v="Nico N.Gonzalez"/>
    <x v="0"/>
    <x v="2"/>
    <n v="5.9"/>
    <n v="28"/>
    <n v="2.8"/>
    <n v="0.1"/>
    <n v="1"/>
    <n v="0"/>
    <n v="644"/>
    <n v="4"/>
    <n v="5"/>
    <n v="0"/>
    <n v="1"/>
    <n v="29.5"/>
    <n v="4.2"/>
    <n v="0"/>
    <n v="0.7"/>
    <n v="4.7"/>
    <n v="0.26"/>
    <n v="0.43"/>
    <n v="0.69"/>
    <n v="6.61"/>
    <n v="6"/>
    <s v="No News"/>
    <n v="101"/>
    <n v="68"/>
    <n v="72"/>
    <n v="34"/>
    <n v="187"/>
    <n v="83"/>
    <n v="470"/>
    <n v="159"/>
  </r>
  <r>
    <s v="Gabriel Gudmundsson"/>
    <x v="17"/>
    <x v="1"/>
    <n v="4"/>
    <n v="27"/>
    <n v="2.5"/>
    <n v="4.5999999999999996"/>
    <n v="0"/>
    <n v="0"/>
    <n v="911"/>
    <n v="2"/>
    <n v="18"/>
    <n v="0"/>
    <n v="6"/>
    <n v="41.1"/>
    <n v="1"/>
    <n v="0"/>
    <n v="0.2"/>
    <n v="6.8"/>
    <n v="0.18"/>
    <n v="1.05"/>
    <n v="1.23"/>
    <n v="13.14"/>
    <n v="11"/>
    <s v="No News"/>
    <n v="642"/>
    <n v="169"/>
    <n v="260"/>
    <n v="87"/>
    <n v="202"/>
    <n v="72"/>
    <n v="79"/>
    <n v="26"/>
  </r>
  <r>
    <s v="Saša Lukić"/>
    <x v="15"/>
    <x v="2"/>
    <n v="5"/>
    <n v="27"/>
    <n v="3"/>
    <n v="0.1"/>
    <n v="1"/>
    <n v="2"/>
    <n v="677"/>
    <n v="1"/>
    <n v="10"/>
    <n v="0"/>
    <n v="2"/>
    <n v="41.5"/>
    <n v="2.2000000000000002"/>
    <n v="0"/>
    <n v="0.4"/>
    <n v="5.4"/>
    <n v="1.35"/>
    <n v="1.01"/>
    <n v="2.36"/>
    <n v="10.45"/>
    <n v="9"/>
    <s v="Suspended until 29 Nov"/>
    <n v="255"/>
    <n v="158"/>
    <n v="172"/>
    <n v="79"/>
    <n v="165"/>
    <n v="72"/>
    <n v="490"/>
    <n v="171"/>
  </r>
  <r>
    <s v="Sander Berge"/>
    <x v="15"/>
    <x v="2"/>
    <n v="4.9000000000000004"/>
    <n v="27"/>
    <n v="2.5"/>
    <n v="0.1"/>
    <n v="0"/>
    <n v="1"/>
    <n v="958"/>
    <n v="2"/>
    <n v="16"/>
    <n v="0"/>
    <n v="0"/>
    <n v="26.1"/>
    <n v="2.8"/>
    <n v="0"/>
    <n v="0.6"/>
    <n v="5.5"/>
    <n v="0.56000000000000005"/>
    <n v="0.38"/>
    <n v="0.94"/>
    <n v="14.34"/>
    <n v="11"/>
    <s v="No News"/>
    <n v="304"/>
    <n v="191"/>
    <n v="140"/>
    <n v="62"/>
    <n v="208"/>
    <n v="94"/>
    <n v="521"/>
    <n v="185"/>
  </r>
  <r>
    <s v="Josh Acheampong"/>
    <x v="5"/>
    <x v="1"/>
    <n v="3.9"/>
    <n v="27"/>
    <n v="5.4"/>
    <n v="2.1"/>
    <n v="1"/>
    <n v="0"/>
    <n v="348"/>
    <n v="2"/>
    <n v="5"/>
    <n v="0"/>
    <n v="5"/>
    <n v="15.8"/>
    <n v="4"/>
    <n v="1"/>
    <n v="1"/>
    <n v="6.9"/>
    <n v="0.6"/>
    <n v="0.04"/>
    <n v="0.64"/>
    <n v="7.53"/>
    <n v="4"/>
    <s v="No News"/>
    <n v="741"/>
    <n v="239"/>
    <n v="75"/>
    <n v="27"/>
    <n v="20"/>
    <n v="12"/>
    <n v="120"/>
    <n v="47"/>
  </r>
  <r>
    <s v="Ollie Watkins"/>
    <x v="12"/>
    <x v="0"/>
    <n v="8.5"/>
    <n v="27"/>
    <n v="2.5"/>
    <n v="6.5"/>
    <n v="1"/>
    <n v="0"/>
    <n v="866"/>
    <n v="5"/>
    <n v="8"/>
    <n v="0"/>
    <n v="2"/>
    <n v="38.1"/>
    <n v="1.8"/>
    <n v="0"/>
    <n v="0.2"/>
    <n v="3.2"/>
    <n v="2.46"/>
    <n v="0.32"/>
    <n v="2.78"/>
    <n v="12.84"/>
    <n v="10"/>
    <s v="No News"/>
    <n v="10"/>
    <n v="5"/>
    <n v="219"/>
    <n v="23"/>
    <n v="215"/>
    <n v="21"/>
    <n v="56"/>
    <n v="12"/>
  </r>
  <r>
    <s v="Matheus Cunha"/>
    <x v="6"/>
    <x v="2"/>
    <n v="7.9"/>
    <n v="26"/>
    <n v="2.6"/>
    <n v="4.4000000000000004"/>
    <n v="1"/>
    <n v="0"/>
    <n v="683"/>
    <n v="1"/>
    <n v="10"/>
    <n v="0"/>
    <n v="1"/>
    <n v="45.7"/>
    <n v="4.2"/>
    <n v="0"/>
    <n v="0.5"/>
    <n v="3.3"/>
    <n v="1.6"/>
    <n v="0.94"/>
    <n v="2.54"/>
    <n v="11.71"/>
    <n v="8"/>
    <s v="No News"/>
    <n v="18"/>
    <n v="12"/>
    <n v="74"/>
    <n v="36"/>
    <n v="201"/>
    <n v="92"/>
    <n v="83"/>
    <n v="27"/>
  </r>
  <r>
    <s v="Tomáš Souček"/>
    <x v="16"/>
    <x v="2"/>
    <n v="5.7"/>
    <n v="26"/>
    <n v="3.2"/>
    <n v="0.2"/>
    <n v="2"/>
    <n v="1"/>
    <n v="422"/>
    <n v="1"/>
    <n v="14"/>
    <n v="0"/>
    <n v="3"/>
    <n v="33.1"/>
    <n v="5.5"/>
    <n v="1"/>
    <n v="1"/>
    <n v="4.5999999999999996"/>
    <n v="2.2799999999999998"/>
    <n v="0.02"/>
    <n v="2.2999999999999998"/>
    <n v="7.99"/>
    <n v="5"/>
    <s v="No News"/>
    <n v="120"/>
    <n v="78"/>
    <n v="27"/>
    <n v="12"/>
    <n v="149"/>
    <n v="67"/>
    <n v="341"/>
    <n v="118"/>
  </r>
  <r>
    <s v="Malick Thiaw"/>
    <x v="13"/>
    <x v="1"/>
    <n v="4.9000000000000004"/>
    <n v="26"/>
    <n v="3.2"/>
    <n v="0.5"/>
    <n v="0"/>
    <n v="0"/>
    <n v="632"/>
    <n v="2"/>
    <n v="12"/>
    <n v="0"/>
    <n v="2"/>
    <n v="23.1"/>
    <n v="1.8"/>
    <n v="0"/>
    <n v="0.4"/>
    <n v="5.3"/>
    <n v="0.78"/>
    <n v="0.33"/>
    <n v="1.1100000000000001"/>
    <n v="9.9600000000000009"/>
    <n v="7"/>
    <s v="No News"/>
    <n v="327"/>
    <n v="54"/>
    <n v="208"/>
    <n v="67"/>
    <n v="145"/>
    <n v="53"/>
    <n v="233"/>
    <n v="85"/>
  </r>
  <r>
    <s v="Noah Sadiki"/>
    <x v="8"/>
    <x v="2"/>
    <n v="5"/>
    <n v="26"/>
    <n v="2.4"/>
    <n v="0.1"/>
    <n v="0"/>
    <n v="0"/>
    <n v="983"/>
    <n v="4"/>
    <n v="10"/>
    <n v="0"/>
    <n v="0"/>
    <n v="26.8"/>
    <n v="3"/>
    <n v="0"/>
    <n v="0.6"/>
    <n v="5.2"/>
    <n v="0.12"/>
    <n v="0.64"/>
    <n v="0.76"/>
    <n v="12.68"/>
    <n v="11"/>
    <s v="No News"/>
    <n v="286"/>
    <n v="179"/>
    <n v="128"/>
    <n v="59"/>
    <n v="220"/>
    <n v="99"/>
    <n v="549"/>
    <n v="203"/>
  </r>
  <r>
    <s v="Adam Wharton"/>
    <x v="3"/>
    <x v="2"/>
    <n v="5"/>
    <n v="26"/>
    <n v="2.9"/>
    <n v="0.4"/>
    <n v="0"/>
    <n v="1"/>
    <n v="696"/>
    <n v="3"/>
    <n v="8"/>
    <n v="0"/>
    <n v="2"/>
    <n v="33.200000000000003"/>
    <n v="1.8"/>
    <n v="0"/>
    <n v="0.4"/>
    <n v="5.2"/>
    <n v="0.26"/>
    <n v="1.8"/>
    <n v="2.06"/>
    <n v="10.01"/>
    <n v="9"/>
    <s v="No News"/>
    <n v="276"/>
    <n v="170"/>
    <n v="214"/>
    <n v="107"/>
    <n v="172"/>
    <n v="76"/>
    <n v="251"/>
    <n v="89"/>
  </r>
  <r>
    <s v="Bart Verbruggen"/>
    <x v="14"/>
    <x v="3"/>
    <n v="4.4000000000000004"/>
    <n v="26"/>
    <n v="2.4"/>
    <n v="4"/>
    <n v="0"/>
    <n v="0"/>
    <n v="990"/>
    <n v="2"/>
    <n v="15"/>
    <n v="25"/>
    <n v="0"/>
    <n v="22.8"/>
    <n v="3.8"/>
    <n v="0"/>
    <n v="0.9"/>
    <n v="5.9"/>
    <n v="0"/>
    <n v="0.01"/>
    <n v="0.01"/>
    <n v="13.2"/>
    <n v="11"/>
    <s v="No News"/>
    <n v="527"/>
    <n v="28"/>
    <n v="88"/>
    <n v="8"/>
    <n v="219"/>
    <n v="20"/>
    <n v="86"/>
    <n v="14"/>
  </r>
  <r>
    <s v="Kenny Tete"/>
    <x v="15"/>
    <x v="1"/>
    <n v="4.5"/>
    <n v="26"/>
    <n v="3.2"/>
    <n v="0.2"/>
    <n v="0"/>
    <n v="0"/>
    <n v="720"/>
    <n v="2"/>
    <n v="9"/>
    <n v="0"/>
    <n v="0"/>
    <n v="26.3"/>
    <n v="2.8"/>
    <n v="0"/>
    <n v="0.6"/>
    <n v="5.8"/>
    <n v="0.17"/>
    <n v="0.51"/>
    <n v="0.68"/>
    <n v="10.65"/>
    <n v="8"/>
    <s v="No News"/>
    <n v="400"/>
    <n v="74"/>
    <n v="136"/>
    <n v="50"/>
    <n v="143"/>
    <n v="51"/>
    <n v="385"/>
    <n v="138"/>
  </r>
  <r>
    <s v="Francisco Evanilson Evanilson"/>
    <x v="2"/>
    <x v="0"/>
    <n v="7"/>
    <n v="25"/>
    <n v="2.8"/>
    <n v="1.4"/>
    <n v="1"/>
    <n v="1"/>
    <n v="721"/>
    <n v="3"/>
    <n v="11"/>
    <n v="0"/>
    <n v="2"/>
    <n v="36.700000000000003"/>
    <n v="0.8"/>
    <n v="0"/>
    <n v="0.1"/>
    <n v="3.6"/>
    <n v="1.58"/>
    <n v="0.36"/>
    <n v="1.94"/>
    <n v="7.63"/>
    <n v="8"/>
    <s v="No News"/>
    <n v="35"/>
    <n v="15"/>
    <n v="304"/>
    <n v="34"/>
    <n v="188"/>
    <n v="18"/>
    <n v="157"/>
    <n v="22"/>
  </r>
  <r>
    <s v="Raúl Raúl"/>
    <x v="15"/>
    <x v="0"/>
    <n v="6.2"/>
    <n v="25"/>
    <n v="2.5"/>
    <n v="0.9"/>
    <n v="1"/>
    <n v="2"/>
    <n v="449"/>
    <n v="1"/>
    <n v="5"/>
    <n v="0"/>
    <n v="1"/>
    <n v="27.7"/>
    <n v="3.2"/>
    <n v="0"/>
    <n v="0.5"/>
    <n v="4"/>
    <n v="1.45"/>
    <n v="0.28000000000000003"/>
    <n v="1.73"/>
    <n v="6.44"/>
    <n v="6"/>
    <s v="No News"/>
    <n v="78"/>
    <n v="25"/>
    <n v="117"/>
    <n v="10"/>
    <n v="210"/>
    <n v="20"/>
    <n v="189"/>
    <n v="29"/>
  </r>
  <r>
    <s v="Pascal Struijk"/>
    <x v="17"/>
    <x v="1"/>
    <n v="4.4000000000000004"/>
    <n v="25"/>
    <n v="2.8"/>
    <n v="0.3"/>
    <n v="0"/>
    <n v="0"/>
    <n v="728"/>
    <n v="2"/>
    <n v="14"/>
    <n v="0"/>
    <n v="2"/>
    <n v="24.7"/>
    <n v="0.2"/>
    <n v="0"/>
    <n v="0"/>
    <n v="5.7"/>
    <n v="0.81"/>
    <n v="0.08"/>
    <n v="0.89"/>
    <n v="9.16"/>
    <n v="8"/>
    <s v="No News"/>
    <n v="506"/>
    <n v="116"/>
    <n v="352"/>
    <n v="122"/>
    <n v="178"/>
    <n v="65"/>
    <n v="313"/>
    <n v="111"/>
  </r>
  <r>
    <s v="Pau Pau"/>
    <x v="12"/>
    <x v="1"/>
    <n v="4.3"/>
    <n v="25"/>
    <n v="3.1"/>
    <n v="0.4"/>
    <n v="0"/>
    <n v="0"/>
    <n v="597"/>
    <n v="2"/>
    <n v="6"/>
    <n v="0"/>
    <n v="2"/>
    <n v="15.5"/>
    <n v="4.2"/>
    <n v="0"/>
    <n v="1"/>
    <n v="5.8"/>
    <n v="0.1"/>
    <n v="0.17"/>
    <n v="0.27"/>
    <n v="7.83"/>
    <n v="6"/>
    <s v="No News"/>
    <n v="587"/>
    <n v="145"/>
    <n v="67"/>
    <n v="24"/>
    <n v="152"/>
    <n v="54"/>
    <n v="286"/>
    <n v="104"/>
  </r>
  <r>
    <s v="André André"/>
    <x v="19"/>
    <x v="2"/>
    <n v="5.3"/>
    <n v="25"/>
    <n v="2.2999999999999998"/>
    <n v="0.1"/>
    <n v="0"/>
    <n v="0"/>
    <n v="703"/>
    <n v="0"/>
    <n v="16"/>
    <n v="0"/>
    <n v="1"/>
    <n v="14.4"/>
    <n v="2"/>
    <n v="0"/>
    <n v="0.4"/>
    <n v="4.7"/>
    <n v="0.04"/>
    <n v="0.2"/>
    <n v="0.24"/>
    <n v="13.58"/>
    <n v="8"/>
    <s v="No News"/>
    <n v="206"/>
    <n v="129"/>
    <n v="189"/>
    <n v="91"/>
    <n v="227"/>
    <n v="102"/>
    <n v="516"/>
    <n v="183"/>
  </r>
  <r>
    <s v="Chris Wood"/>
    <x v="18"/>
    <x v="0"/>
    <n v="7.2"/>
    <n v="25"/>
    <n v="3.1"/>
    <n v="6"/>
    <n v="2"/>
    <n v="0"/>
    <n v="538"/>
    <n v="1"/>
    <n v="8"/>
    <n v="0"/>
    <n v="3"/>
    <n v="29.8"/>
    <n v="0.2"/>
    <n v="1"/>
    <n v="0"/>
    <n v="3.5"/>
    <n v="2.81"/>
    <n v="0.11"/>
    <n v="2.92"/>
    <n v="7.84"/>
    <n v="7"/>
    <s v="Knee injury - 25% chance of playing"/>
    <n v="30"/>
    <n v="13"/>
    <n v="383"/>
    <n v="49"/>
    <n v="161"/>
    <n v="15"/>
    <n v="58"/>
    <n v="13"/>
  </r>
  <r>
    <s v="Dominic Calvert-Lewin"/>
    <x v="17"/>
    <x v="0"/>
    <n v="5.5"/>
    <n v="25"/>
    <n v="2.8"/>
    <n v="1"/>
    <n v="1"/>
    <n v="1"/>
    <n v="614"/>
    <n v="2"/>
    <n v="9"/>
    <n v="0"/>
    <n v="2"/>
    <n v="36.6"/>
    <n v="1.8"/>
    <n v="1"/>
    <n v="0.3"/>
    <n v="4.5"/>
    <n v="2.02"/>
    <n v="0.46"/>
    <n v="2.48"/>
    <n v="7.51"/>
    <n v="7"/>
    <s v="Thigh injury - 75% chance of playing"/>
    <n v="138"/>
    <n v="34"/>
    <n v="216"/>
    <n v="22"/>
    <n v="183"/>
    <n v="16"/>
    <n v="175"/>
    <n v="25"/>
  </r>
  <r>
    <s v="Alexis Mac Allister"/>
    <x v="10"/>
    <x v="2"/>
    <n v="6.3"/>
    <n v="25"/>
    <n v="2.5"/>
    <n v="1.2"/>
    <n v="0"/>
    <n v="2"/>
    <n v="637"/>
    <n v="2"/>
    <n v="8"/>
    <n v="0"/>
    <n v="0"/>
    <n v="28.5"/>
    <n v="2.5"/>
    <n v="0"/>
    <n v="0.4"/>
    <n v="4"/>
    <n v="0.65"/>
    <n v="0.38"/>
    <n v="1.03"/>
    <n v="7.77"/>
    <n v="9"/>
    <s v="No News"/>
    <n v="71"/>
    <n v="49"/>
    <n v="160"/>
    <n v="69"/>
    <n v="211"/>
    <n v="95"/>
    <n v="161"/>
    <n v="56"/>
  </r>
  <r>
    <s v="Santiago S.Bueno"/>
    <x v="19"/>
    <x v="1"/>
    <n v="4.4000000000000004"/>
    <n v="25"/>
    <n v="3.1"/>
    <n v="0.1"/>
    <n v="1"/>
    <n v="1"/>
    <n v="664"/>
    <n v="0"/>
    <n v="16"/>
    <n v="0"/>
    <n v="2"/>
    <n v="30.7"/>
    <n v="2"/>
    <n v="1"/>
    <n v="0.5"/>
    <n v="5.7"/>
    <n v="0.8"/>
    <n v="0.46"/>
    <n v="1.26"/>
    <n v="11.19"/>
    <n v="7"/>
    <s v="No News"/>
    <n v="510"/>
    <n v="118"/>
    <n v="182"/>
    <n v="62"/>
    <n v="153"/>
    <n v="55"/>
    <n v="484"/>
    <n v="175"/>
  </r>
  <r>
    <s v="Bernardo Bernardo"/>
    <x v="0"/>
    <x v="2"/>
    <n v="6.3"/>
    <n v="25"/>
    <n v="2.2999999999999998"/>
    <n v="0.5"/>
    <n v="0"/>
    <n v="2"/>
    <n v="640"/>
    <n v="3"/>
    <n v="4"/>
    <n v="0"/>
    <n v="0"/>
    <n v="30.9"/>
    <n v="2.5"/>
    <n v="0"/>
    <n v="0.4"/>
    <n v="4"/>
    <n v="0.1"/>
    <n v="1.26"/>
    <n v="1.36"/>
    <n v="6.52"/>
    <n v="7"/>
    <s v="No News"/>
    <n v="68"/>
    <n v="46"/>
    <n v="159"/>
    <n v="68"/>
    <n v="231"/>
    <n v="105"/>
    <n v="230"/>
    <n v="80"/>
  </r>
  <r>
    <s v="Zian Flemming"/>
    <x v="11"/>
    <x v="0"/>
    <n v="5.3"/>
    <n v="25"/>
    <n v="3.1"/>
    <n v="0.3"/>
    <n v="3"/>
    <n v="0"/>
    <n v="343"/>
    <n v="1"/>
    <n v="5"/>
    <n v="0"/>
    <n v="3"/>
    <n v="26.1"/>
    <n v="5.2"/>
    <n v="1"/>
    <n v="1"/>
    <n v="4.7"/>
    <n v="1.04"/>
    <n v="0.06"/>
    <n v="1.1000000000000001"/>
    <n v="8.15"/>
    <n v="4"/>
    <s v="No News"/>
    <n v="201"/>
    <n v="44"/>
    <n v="37"/>
    <n v="6"/>
    <n v="159"/>
    <n v="14"/>
    <n v="309"/>
    <n v="50"/>
  </r>
  <r>
    <s v="Fabian Schär"/>
    <x v="13"/>
    <x v="1"/>
    <n v="5.4"/>
    <n v="25"/>
    <n v="4.2"/>
    <n v="1.8"/>
    <n v="0"/>
    <n v="0"/>
    <n v="424"/>
    <n v="3"/>
    <n v="3"/>
    <n v="0"/>
    <n v="0"/>
    <n v="15.7"/>
    <n v="0.5"/>
    <n v="0"/>
    <n v="0.1"/>
    <n v="4.5999999999999996"/>
    <n v="0.1"/>
    <n v="0.09"/>
    <n v="0.19"/>
    <n v="3.4"/>
    <n v="4"/>
    <s v="No News"/>
    <n v="158"/>
    <n v="18"/>
    <n v="330"/>
    <n v="110"/>
    <n v="65"/>
    <n v="28"/>
    <n v="135"/>
    <n v="51"/>
  </r>
  <r>
    <s v="João Victor Gomes"/>
    <x v="19"/>
    <x v="2"/>
    <n v="5.3"/>
    <n v="24"/>
    <n v="2.2000000000000002"/>
    <n v="0.1"/>
    <n v="0"/>
    <n v="0"/>
    <n v="835"/>
    <n v="1"/>
    <n v="20"/>
    <n v="0"/>
    <n v="0"/>
    <n v="27"/>
    <n v="1.5"/>
    <n v="0"/>
    <n v="0.3"/>
    <n v="4.5"/>
    <n v="0.36"/>
    <n v="0.47"/>
    <n v="0.83"/>
    <n v="15.04"/>
    <n v="9"/>
    <s v="No News"/>
    <n v="202"/>
    <n v="127"/>
    <n v="229"/>
    <n v="111"/>
    <n v="244"/>
    <n v="111"/>
    <n v="480"/>
    <n v="165"/>
  </r>
  <r>
    <s v="Harvey Barnes"/>
    <x v="13"/>
    <x v="2"/>
    <n v="6.3"/>
    <n v="24"/>
    <n v="2.2000000000000002"/>
    <n v="0.4"/>
    <n v="1"/>
    <n v="0"/>
    <n v="464"/>
    <n v="2"/>
    <n v="6"/>
    <n v="0"/>
    <n v="2"/>
    <n v="30.4"/>
    <n v="3"/>
    <n v="0"/>
    <n v="0.5"/>
    <n v="3.8"/>
    <n v="1.04"/>
    <n v="0.94"/>
    <n v="1.98"/>
    <n v="4.01"/>
    <n v="4"/>
    <s v="No News"/>
    <n v="69"/>
    <n v="47"/>
    <n v="132"/>
    <n v="61"/>
    <n v="252"/>
    <n v="117"/>
    <n v="284"/>
    <n v="100"/>
  </r>
  <r>
    <s v="Tyrone Mings"/>
    <x v="12"/>
    <x v="1"/>
    <n v="4.4000000000000004"/>
    <n v="24"/>
    <n v="3.4"/>
    <n v="0.8"/>
    <n v="0"/>
    <n v="0"/>
    <n v="497"/>
    <n v="2"/>
    <n v="6"/>
    <n v="0"/>
    <n v="1"/>
    <n v="19"/>
    <n v="0.2"/>
    <n v="0"/>
    <n v="0"/>
    <n v="5.5"/>
    <n v="0.33"/>
    <n v="0.09"/>
    <n v="0.42"/>
    <n v="8.7799999999999994"/>
    <n v="6"/>
    <s v="Hamstring injury - 25% chance of playing"/>
    <n v="497"/>
    <n v="108"/>
    <n v="351"/>
    <n v="121"/>
    <n v="125"/>
    <n v="45"/>
    <n v="193"/>
    <n v="72"/>
  </r>
  <r>
    <s v="Lucas Bergvall"/>
    <x v="7"/>
    <x v="2"/>
    <n v="5.4"/>
    <n v="24"/>
    <n v="2.7"/>
    <n v="0.3"/>
    <n v="1"/>
    <n v="1"/>
    <n v="409"/>
    <n v="2"/>
    <n v="3"/>
    <n v="0"/>
    <n v="0"/>
    <n v="22.8"/>
    <n v="0.8"/>
    <n v="1"/>
    <n v="0.1"/>
    <n v="4.4000000000000004"/>
    <n v="0.59"/>
    <n v="0.23"/>
    <n v="0.82"/>
    <n v="4.88"/>
    <n v="5"/>
    <s v="Head injury - Expected back 23 Nov"/>
    <n v="187"/>
    <n v="117"/>
    <n v="299"/>
    <n v="148"/>
    <n v="194"/>
    <n v="87"/>
    <n v="314"/>
    <n v="110"/>
  </r>
  <r>
    <s v="Ethan Ampadu"/>
    <x v="17"/>
    <x v="2"/>
    <n v="4.9000000000000004"/>
    <n v="24"/>
    <n v="2.7"/>
    <n v="0.1"/>
    <n v="0"/>
    <n v="0"/>
    <n v="787"/>
    <n v="1"/>
    <n v="15"/>
    <n v="0"/>
    <n v="0"/>
    <n v="22.1"/>
    <n v="2.2000000000000002"/>
    <n v="0"/>
    <n v="0.4"/>
    <n v="4.9000000000000004"/>
    <n v="0.4"/>
    <n v="0.22"/>
    <n v="0.62"/>
    <n v="10.98"/>
    <n v="9"/>
    <s v="No News"/>
    <n v="300"/>
    <n v="189"/>
    <n v="168"/>
    <n v="75"/>
    <n v="191"/>
    <n v="84"/>
    <n v="524"/>
    <n v="187"/>
  </r>
  <r>
    <s v="Amadou Onana"/>
    <x v="12"/>
    <x v="2"/>
    <n v="4.8"/>
    <n v="24"/>
    <n v="3.4"/>
    <n v="0.7"/>
    <n v="1"/>
    <n v="0"/>
    <n v="485"/>
    <n v="3"/>
    <n v="4"/>
    <n v="0"/>
    <n v="1"/>
    <n v="20.5"/>
    <n v="4.2"/>
    <n v="0"/>
    <n v="0.9"/>
    <n v="5"/>
    <n v="0.26"/>
    <n v="0.12"/>
    <n v="0.38"/>
    <n v="7.01"/>
    <n v="6"/>
    <s v="No News"/>
    <n v="365"/>
    <n v="231"/>
    <n v="71"/>
    <n v="33"/>
    <n v="127"/>
    <n v="56"/>
    <n v="210"/>
    <n v="71"/>
  </r>
  <r>
    <s v="Alejandro Garnacho"/>
    <x v="5"/>
    <x v="2"/>
    <n v="6.4"/>
    <n v="24"/>
    <n v="4"/>
    <n v="0.7"/>
    <n v="1"/>
    <n v="2"/>
    <n v="342"/>
    <n v="2"/>
    <n v="3"/>
    <n v="0"/>
    <n v="2"/>
    <n v="33.299999999999997"/>
    <n v="5.2"/>
    <n v="1"/>
    <n v="0.8"/>
    <n v="3.8"/>
    <n v="0.86"/>
    <n v="1.7"/>
    <n v="2.56"/>
    <n v="4.04"/>
    <n v="5"/>
    <s v="No News"/>
    <n v="66"/>
    <n v="44"/>
    <n v="39"/>
    <n v="19"/>
    <n v="82"/>
    <n v="35"/>
    <n v="203"/>
    <n v="69"/>
  </r>
  <r>
    <s v="Crysencio Summerville"/>
    <x v="16"/>
    <x v="2"/>
    <n v="5.5"/>
    <n v="23"/>
    <n v="2.6"/>
    <n v="0.1"/>
    <n v="0"/>
    <n v="3"/>
    <n v="639"/>
    <n v="0"/>
    <n v="13"/>
    <n v="0"/>
    <n v="0"/>
    <n v="26.3"/>
    <n v="2.2000000000000002"/>
    <n v="0"/>
    <n v="0.4"/>
    <n v="4.2"/>
    <n v="0.84"/>
    <n v="0.46"/>
    <n v="1.3"/>
    <n v="11.03"/>
    <n v="8"/>
    <s v="No News"/>
    <n v="147"/>
    <n v="94"/>
    <n v="177"/>
    <n v="84"/>
    <n v="200"/>
    <n v="91"/>
    <n v="426"/>
    <n v="146"/>
  </r>
  <r>
    <s v="Boubacar Kamara"/>
    <x v="12"/>
    <x v="2"/>
    <n v="4.9000000000000004"/>
    <n v="23"/>
    <n v="2.6"/>
    <n v="0.2"/>
    <n v="0"/>
    <n v="2"/>
    <n v="644"/>
    <n v="3"/>
    <n v="6"/>
    <n v="0"/>
    <n v="1"/>
    <n v="28.9"/>
    <n v="2"/>
    <n v="0"/>
    <n v="0.4"/>
    <n v="4.7"/>
    <n v="0.1"/>
    <n v="0.42"/>
    <n v="0.51"/>
    <n v="8.57"/>
    <n v="8"/>
    <s v="No News"/>
    <n v="311"/>
    <n v="196"/>
    <n v="187"/>
    <n v="89"/>
    <n v="197"/>
    <n v="88"/>
    <n v="383"/>
    <n v="131"/>
  </r>
  <r>
    <s v="Lukas Nmecha"/>
    <x v="17"/>
    <x v="0"/>
    <n v="5"/>
    <n v="23"/>
    <n v="2.1"/>
    <n v="0.6"/>
    <n v="2"/>
    <n v="0"/>
    <n v="272"/>
    <n v="1"/>
    <n v="8"/>
    <n v="0"/>
    <n v="2"/>
    <n v="20.100000000000001"/>
    <n v="2.8"/>
    <n v="0"/>
    <n v="0.6"/>
    <n v="4.5999999999999996"/>
    <n v="2.15"/>
    <n v="0.06"/>
    <n v="2.21"/>
    <n v="5.03"/>
    <n v="2"/>
    <s v="No News"/>
    <n v="247"/>
    <n v="49"/>
    <n v="141"/>
    <n v="13"/>
    <n v="265"/>
    <n v="27"/>
    <n v="218"/>
    <n v="35"/>
  </r>
  <r>
    <s v="Mathys Tel"/>
    <x v="7"/>
    <x v="2"/>
    <n v="6.3"/>
    <n v="23"/>
    <n v="2.9"/>
    <n v="0.1"/>
    <n v="2"/>
    <n v="0"/>
    <n v="246"/>
    <n v="1"/>
    <n v="3"/>
    <n v="0"/>
    <n v="2"/>
    <n v="14.5"/>
    <n v="2"/>
    <n v="0"/>
    <n v="0.3"/>
    <n v="3.7"/>
    <n v="0.47"/>
    <n v="0.05"/>
    <n v="0.52"/>
    <n v="2.23"/>
    <n v="3"/>
    <s v="No News"/>
    <n v="77"/>
    <n v="52"/>
    <n v="197"/>
    <n v="97"/>
    <n v="175"/>
    <n v="79"/>
    <n v="437"/>
    <n v="150"/>
  </r>
  <r>
    <s v="Matz Sels"/>
    <x v="18"/>
    <x v="3"/>
    <n v="4.8"/>
    <n v="23"/>
    <n v="2.1"/>
    <n v="8.1"/>
    <n v="0"/>
    <n v="0"/>
    <n v="990"/>
    <n v="0"/>
    <n v="20"/>
    <n v="37"/>
    <n v="0"/>
    <n v="27"/>
    <n v="2"/>
    <n v="0"/>
    <n v="0.4"/>
    <n v="4.8"/>
    <n v="0"/>
    <n v="0.04"/>
    <n v="0.04"/>
    <n v="16.25"/>
    <n v="11"/>
    <s v="No News"/>
    <n v="349"/>
    <n v="13"/>
    <n v="185"/>
    <n v="17"/>
    <n v="259"/>
    <n v="24"/>
    <n v="47"/>
    <n v="8"/>
  </r>
  <r>
    <s v="Mikel Merino"/>
    <x v="1"/>
    <x v="2"/>
    <n v="5.9"/>
    <n v="23"/>
    <n v="2.2999999999999998"/>
    <n v="1"/>
    <n v="1"/>
    <n v="1"/>
    <n v="413"/>
    <n v="2"/>
    <n v="3"/>
    <n v="0"/>
    <n v="0"/>
    <n v="25.3"/>
    <n v="2"/>
    <n v="0"/>
    <n v="0.3"/>
    <n v="3.9"/>
    <n v="0.72"/>
    <n v="0.23"/>
    <n v="0.95"/>
    <n v="2.64"/>
    <n v="4"/>
    <s v="No News"/>
    <n v="98"/>
    <n v="65"/>
    <n v="196"/>
    <n v="96"/>
    <n v="230"/>
    <n v="104"/>
    <n v="183"/>
    <n v="63"/>
  </r>
  <r>
    <s v="Leny Yoro"/>
    <x v="6"/>
    <x v="1"/>
    <n v="4.4000000000000004"/>
    <n v="23"/>
    <n v="2.1"/>
    <n v="1.7"/>
    <n v="0"/>
    <n v="1"/>
    <n v="638"/>
    <n v="1"/>
    <n v="14"/>
    <n v="0"/>
    <n v="1"/>
    <n v="15.5"/>
    <n v="0.8"/>
    <n v="0"/>
    <n v="0.2"/>
    <n v="5.2"/>
    <n v="0.28999999999999998"/>
    <n v="0.06"/>
    <n v="0.35"/>
    <n v="10.24"/>
    <n v="7"/>
    <s v="No News"/>
    <n v="551"/>
    <n v="131"/>
    <n v="287"/>
    <n v="97"/>
    <n v="256"/>
    <n v="90"/>
    <n v="137"/>
    <n v="52"/>
  </r>
  <r>
    <s v="Loum Tchaouna"/>
    <x v="11"/>
    <x v="2"/>
    <n v="4.9000000000000004"/>
    <n v="22"/>
    <n v="2.2000000000000002"/>
    <n v="0"/>
    <n v="1"/>
    <n v="1"/>
    <n v="435"/>
    <n v="1"/>
    <n v="6"/>
    <n v="0"/>
    <n v="0"/>
    <n v="13.8"/>
    <n v="2.2000000000000002"/>
    <n v="0"/>
    <n v="0.4"/>
    <n v="4.5"/>
    <n v="0.38"/>
    <n v="0.19"/>
    <n v="0.56999999999999995"/>
    <n v="8.98"/>
    <n v="5"/>
    <s v="No News"/>
    <n v="330"/>
    <n v="208"/>
    <n v="170"/>
    <n v="77"/>
    <n v="241"/>
    <n v="109"/>
    <n v="599"/>
    <n v="236"/>
  </r>
  <r>
    <s v="Ferdi F.Kadıoğlu"/>
    <x v="14"/>
    <x v="1"/>
    <n v="4.4000000000000004"/>
    <n v="22"/>
    <n v="2.2000000000000002"/>
    <n v="0.2"/>
    <n v="0"/>
    <n v="0"/>
    <n v="734"/>
    <n v="2"/>
    <n v="11"/>
    <n v="0"/>
    <n v="0"/>
    <n v="24"/>
    <n v="3.2"/>
    <n v="0"/>
    <n v="0.7"/>
    <n v="5"/>
    <n v="0.31"/>
    <n v="0.67"/>
    <n v="0.98"/>
    <n v="9.59"/>
    <n v="7"/>
    <s v="No News"/>
    <n v="509"/>
    <n v="117"/>
    <n v="108"/>
    <n v="40"/>
    <n v="235"/>
    <n v="85"/>
    <n v="388"/>
    <n v="141"/>
  </r>
  <r>
    <s v="Mason Mount"/>
    <x v="6"/>
    <x v="2"/>
    <n v="5.9"/>
    <n v="22"/>
    <n v="2.8"/>
    <n v="0.3"/>
    <n v="1"/>
    <n v="0"/>
    <n v="349"/>
    <n v="3"/>
    <n v="5"/>
    <n v="0"/>
    <n v="2"/>
    <n v="22.1"/>
    <n v="1"/>
    <n v="0"/>
    <n v="0.2"/>
    <n v="3.7"/>
    <n v="0.5"/>
    <n v="0.73"/>
    <n v="1.23"/>
    <n v="4.57"/>
    <n v="5"/>
    <s v="No News"/>
    <n v="97"/>
    <n v="64"/>
    <n v="279"/>
    <n v="136"/>
    <n v="186"/>
    <n v="82"/>
    <n v="332"/>
    <n v="116"/>
  </r>
  <r>
    <s v="Callum Hudson-Odoi"/>
    <x v="18"/>
    <x v="2"/>
    <n v="5.8"/>
    <n v="22"/>
    <n v="2.2000000000000002"/>
    <n v="0.7"/>
    <n v="1"/>
    <n v="0"/>
    <n v="567"/>
    <n v="0"/>
    <n v="12"/>
    <n v="0"/>
    <n v="3"/>
    <n v="42.4"/>
    <n v="1"/>
    <n v="0"/>
    <n v="0.2"/>
    <n v="3.8"/>
    <n v="0.6"/>
    <n v="1.0900000000000001"/>
    <n v="1.69"/>
    <n v="11.02"/>
    <n v="6"/>
    <s v="Dead leg - 25% chance of playing"/>
    <n v="108"/>
    <n v="73"/>
    <n v="277"/>
    <n v="134"/>
    <n v="251"/>
    <n v="116"/>
    <n v="206"/>
    <n v="70"/>
  </r>
  <r>
    <s v="Callum Wilson"/>
    <x v="16"/>
    <x v="0"/>
    <n v="5.8"/>
    <n v="22"/>
    <n v="2.8"/>
    <n v="0.4"/>
    <n v="2"/>
    <n v="0"/>
    <n v="365"/>
    <n v="1"/>
    <n v="7"/>
    <n v="0"/>
    <n v="3"/>
    <n v="28"/>
    <n v="2.8"/>
    <n v="0"/>
    <n v="0.5"/>
    <n v="3.8"/>
    <n v="2.13"/>
    <n v="7.0000000000000007E-2"/>
    <n v="2.2000000000000002"/>
    <n v="5.2"/>
    <n v="3"/>
    <s v="No News"/>
    <n v="104"/>
    <n v="28"/>
    <n v="144"/>
    <n v="14"/>
    <n v="184"/>
    <n v="17"/>
    <n v="267"/>
    <n v="40"/>
  </r>
  <r>
    <s v="Diogo Dalot"/>
    <x v="6"/>
    <x v="1"/>
    <n v="4.4000000000000004"/>
    <n v="22"/>
    <n v="2.4"/>
    <n v="1"/>
    <n v="0"/>
    <n v="2"/>
    <n v="592"/>
    <n v="1"/>
    <n v="14"/>
    <n v="0"/>
    <n v="0"/>
    <n v="25.7"/>
    <n v="1.5"/>
    <n v="0"/>
    <n v="0.3"/>
    <n v="5"/>
    <n v="0.09"/>
    <n v="0.87"/>
    <n v="0.96"/>
    <n v="11.45"/>
    <n v="7"/>
    <s v="No News"/>
    <n v="503"/>
    <n v="114"/>
    <n v="224"/>
    <n v="73"/>
    <n v="218"/>
    <n v="79"/>
    <n v="180"/>
    <n v="67"/>
  </r>
  <r>
    <s v="Hannibal Hannibal"/>
    <x v="11"/>
    <x v="2"/>
    <n v="4.8"/>
    <n v="21"/>
    <n v="2.1"/>
    <n v="0.1"/>
    <n v="0"/>
    <n v="2"/>
    <n v="287"/>
    <n v="1"/>
    <n v="9"/>
    <n v="0"/>
    <n v="0"/>
    <n v="12.2"/>
    <n v="2.2000000000000002"/>
    <n v="0"/>
    <n v="0.5"/>
    <n v="4.4000000000000004"/>
    <n v="0.17"/>
    <n v="0.51"/>
    <n v="0.68"/>
    <n v="8.89"/>
    <n v="3"/>
    <s v="No News"/>
    <n v="368"/>
    <n v="232"/>
    <n v="167"/>
    <n v="74"/>
    <n v="260"/>
    <n v="119"/>
    <n v="429"/>
    <n v="149"/>
  </r>
  <r>
    <s v="Joelinton Cássio Joelinton"/>
    <x v="13"/>
    <x v="2"/>
    <n v="5.9"/>
    <n v="21"/>
    <n v="2.2999999999999998"/>
    <n v="0.3"/>
    <n v="0"/>
    <n v="0"/>
    <n v="649"/>
    <n v="3"/>
    <n v="8"/>
    <n v="0"/>
    <n v="0"/>
    <n v="26.4"/>
    <n v="2"/>
    <n v="0"/>
    <n v="0.3"/>
    <n v="3.6"/>
    <n v="0.65"/>
    <n v="0.42"/>
    <n v="1.07"/>
    <n v="7.03"/>
    <n v="9"/>
    <s v="No News"/>
    <n v="96"/>
    <n v="63"/>
    <n v="195"/>
    <n v="95"/>
    <n v="229"/>
    <n v="103"/>
    <n v="306"/>
    <n v="105"/>
  </r>
  <r>
    <s v="Milos Kerkez"/>
    <x v="10"/>
    <x v="1"/>
    <n v="5.7"/>
    <n v="21"/>
    <n v="2.1"/>
    <n v="3.3"/>
    <n v="1"/>
    <n v="0"/>
    <n v="694"/>
    <n v="1"/>
    <n v="12"/>
    <n v="0"/>
    <n v="0"/>
    <n v="29.6"/>
    <n v="2"/>
    <n v="0"/>
    <n v="0.4"/>
    <n v="3.7"/>
    <n v="0.71"/>
    <n v="0.18"/>
    <n v="0.89"/>
    <n v="10.09"/>
    <n v="9"/>
    <s v="No News"/>
    <n v="125"/>
    <n v="12"/>
    <n v="193"/>
    <n v="64"/>
    <n v="266"/>
    <n v="93"/>
    <n v="94"/>
    <n v="33"/>
  </r>
  <r>
    <s v="Jørgen Strand Larsen"/>
    <x v="19"/>
    <x v="0"/>
    <n v="6.3"/>
    <n v="21"/>
    <n v="2.2999999999999998"/>
    <n v="1.2"/>
    <n v="1"/>
    <n v="0"/>
    <n v="707"/>
    <n v="2"/>
    <n v="16"/>
    <n v="0"/>
    <n v="0"/>
    <n v="28.3"/>
    <n v="3"/>
    <n v="0"/>
    <n v="0.5"/>
    <n v="3.3"/>
    <n v="1.59"/>
    <n v="0.39"/>
    <n v="1.98"/>
    <n v="11.34"/>
    <n v="8"/>
    <s v="No News"/>
    <n v="72"/>
    <n v="22"/>
    <n v="133"/>
    <n v="11"/>
    <n v="232"/>
    <n v="25"/>
    <n v="165"/>
    <n v="24"/>
  </r>
  <r>
    <s v="David Brooks"/>
    <x v="2"/>
    <x v="2"/>
    <n v="5"/>
    <n v="21"/>
    <n v="2.1"/>
    <n v="0.2"/>
    <n v="0"/>
    <n v="1"/>
    <n v="549"/>
    <n v="3"/>
    <n v="8"/>
    <n v="0"/>
    <n v="1"/>
    <n v="33.4"/>
    <n v="0.8"/>
    <n v="0"/>
    <n v="0.2"/>
    <n v="4.2"/>
    <n v="1.06"/>
    <n v="1.47"/>
    <n v="2.5299999999999998"/>
    <n v="6.86"/>
    <n v="7"/>
    <s v="No News"/>
    <n v="243"/>
    <n v="151"/>
    <n v="292"/>
    <n v="141"/>
    <n v="264"/>
    <n v="122"/>
    <n v="355"/>
    <n v="121"/>
  </r>
  <r>
    <s v="Mathias Jensen"/>
    <x v="4"/>
    <x v="2"/>
    <n v="4.9000000000000004"/>
    <n v="21"/>
    <n v="2.2999999999999998"/>
    <n v="0.1"/>
    <n v="2"/>
    <n v="0"/>
    <n v="214"/>
    <n v="0"/>
    <n v="5"/>
    <n v="0"/>
    <n v="0"/>
    <n v="20"/>
    <n v="2.2000000000000002"/>
    <n v="0"/>
    <n v="0.4"/>
    <n v="4.3"/>
    <n v="0.55000000000000004"/>
    <n v="0.25"/>
    <n v="0.8"/>
    <n v="3.64"/>
    <n v="2"/>
    <s v="No News"/>
    <n v="305"/>
    <n v="192"/>
    <n v="169"/>
    <n v="76"/>
    <n v="225"/>
    <n v="101"/>
    <n v="491"/>
    <n v="172"/>
  </r>
  <r>
    <s v="Jefferson Lerma"/>
    <x v="3"/>
    <x v="2"/>
    <n v="4.9000000000000004"/>
    <n v="21"/>
    <n v="2.1"/>
    <n v="0.1"/>
    <n v="0"/>
    <n v="2"/>
    <n v="360"/>
    <n v="3"/>
    <n v="2"/>
    <n v="0"/>
    <n v="1"/>
    <n v="17.899999999999999"/>
    <n v="3.2"/>
    <n v="0"/>
    <n v="0.7"/>
    <n v="4.3"/>
    <n v="0.56999999999999995"/>
    <n v="0.14000000000000001"/>
    <n v="0.71"/>
    <n v="3.88"/>
    <n v="3"/>
    <s v="No News"/>
    <n v="292"/>
    <n v="183"/>
    <n v="112"/>
    <n v="51"/>
    <n v="261"/>
    <n v="120"/>
    <n v="527"/>
    <n v="189"/>
  </r>
  <r>
    <s v="Kyle Walker-Peters"/>
    <x v="16"/>
    <x v="1"/>
    <n v="4.3"/>
    <n v="21"/>
    <n v="2.1"/>
    <n v="0.3"/>
    <n v="1"/>
    <n v="0"/>
    <n v="465"/>
    <n v="1"/>
    <n v="8"/>
    <n v="0"/>
    <n v="0"/>
    <n v="22.1"/>
    <n v="2.5"/>
    <n v="0"/>
    <n v="0.6"/>
    <n v="4.9000000000000004"/>
    <n v="1.1000000000000001"/>
    <n v="7.0000000000000007E-2"/>
    <n v="1.17"/>
    <n v="7.62"/>
    <n v="5"/>
    <s v="No News"/>
    <n v="580"/>
    <n v="139"/>
    <n v="148"/>
    <n v="54"/>
    <n v="255"/>
    <n v="89"/>
    <n v="317"/>
    <n v="112"/>
  </r>
  <r>
    <s v="Norberto Bercique Beto"/>
    <x v="9"/>
    <x v="0"/>
    <n v="5.2"/>
    <n v="21"/>
    <n v="1.9"/>
    <n v="3.2"/>
    <n v="1"/>
    <n v="0"/>
    <n v="606"/>
    <n v="1"/>
    <n v="9"/>
    <n v="0"/>
    <n v="1"/>
    <n v="33.299999999999997"/>
    <n v="1.5"/>
    <n v="0"/>
    <n v="0.3"/>
    <n v="4"/>
    <n v="3.86"/>
    <n v="0.12"/>
    <n v="3.98"/>
    <n v="10.49"/>
    <n v="7"/>
    <s v="No News"/>
    <n v="222"/>
    <n v="48"/>
    <n v="227"/>
    <n v="24"/>
    <n v="290"/>
    <n v="29"/>
    <n v="97"/>
    <n v="18"/>
  </r>
  <r>
    <s v="Hugo H.Bueno"/>
    <x v="19"/>
    <x v="1"/>
    <n v="4.4000000000000004"/>
    <n v="21"/>
    <n v="1.9"/>
    <n v="0.1"/>
    <n v="0"/>
    <n v="0"/>
    <n v="792"/>
    <n v="1"/>
    <n v="16"/>
    <n v="0"/>
    <n v="2"/>
    <n v="51.3"/>
    <n v="1"/>
    <n v="0"/>
    <n v="0.2"/>
    <n v="4.8"/>
    <n v="0.2"/>
    <n v="1.17"/>
    <n v="1.37"/>
    <n v="12.49"/>
    <n v="8"/>
    <s v="No News"/>
    <n v="529"/>
    <n v="128"/>
    <n v="265"/>
    <n v="90"/>
    <n v="288"/>
    <n v="103"/>
    <n v="479"/>
    <n v="174"/>
  </r>
  <r>
    <s v="Keane Lewis-Potter"/>
    <x v="4"/>
    <x v="1"/>
    <n v="4.9000000000000004"/>
    <n v="21"/>
    <n v="2.2999999999999998"/>
    <n v="0.3"/>
    <n v="0"/>
    <n v="1"/>
    <n v="446"/>
    <n v="2"/>
    <n v="9"/>
    <n v="0"/>
    <n v="0"/>
    <n v="16.2"/>
    <n v="1.2"/>
    <n v="0"/>
    <n v="0.2"/>
    <n v="4.3"/>
    <n v="0.16"/>
    <n v="0.37"/>
    <n v="0.53"/>
    <n v="7.37"/>
    <n v="5"/>
    <s v="No News"/>
    <n v="315"/>
    <n v="51"/>
    <n v="249"/>
    <n v="84"/>
    <n v="226"/>
    <n v="82"/>
    <n v="305"/>
    <n v="109"/>
  </r>
  <r>
    <s v="Hjalmar Ekdal"/>
    <x v="11"/>
    <x v="1"/>
    <n v="4"/>
    <n v="20"/>
    <n v="2.9"/>
    <n v="1.1000000000000001"/>
    <n v="0"/>
    <n v="0"/>
    <n v="533"/>
    <n v="1"/>
    <n v="12"/>
    <n v="0"/>
    <n v="1"/>
    <n v="21.7"/>
    <n v="0.2"/>
    <n v="0"/>
    <n v="0"/>
    <n v="5"/>
    <n v="0.15"/>
    <n v="0.16"/>
    <n v="0.31"/>
    <n v="11.29"/>
    <n v="6"/>
    <s v="No News"/>
    <n v="660"/>
    <n v="180"/>
    <n v="344"/>
    <n v="116"/>
    <n v="169"/>
    <n v="62"/>
    <n v="171"/>
    <n v="64"/>
  </r>
  <r>
    <s v="Xavi Xavi"/>
    <x v="7"/>
    <x v="2"/>
    <n v="6.7"/>
    <n v="20"/>
    <n v="2.5"/>
    <n v="1.4"/>
    <n v="0"/>
    <n v="1"/>
    <n v="530"/>
    <n v="2"/>
    <n v="6"/>
    <n v="0"/>
    <n v="0"/>
    <n v="22.5"/>
    <n v="2.5"/>
    <n v="0"/>
    <n v="0.4"/>
    <n v="3"/>
    <n v="0.32"/>
    <n v="0.65"/>
    <n v="0.97"/>
    <n v="7.63"/>
    <n v="6"/>
    <s v="No News"/>
    <n v="50"/>
    <n v="34"/>
    <n v="163"/>
    <n v="72"/>
    <n v="214"/>
    <n v="98"/>
    <n v="153"/>
    <n v="53"/>
  </r>
  <r>
    <s v="Mitoma Mitoma"/>
    <x v="14"/>
    <x v="2"/>
    <n v="6.2"/>
    <n v="20"/>
    <n v="3.3"/>
    <n v="2.1"/>
    <n v="1"/>
    <n v="1"/>
    <n v="508"/>
    <n v="1"/>
    <n v="8"/>
    <n v="0"/>
    <n v="0"/>
    <n v="26.9"/>
    <n v="0"/>
    <n v="0"/>
    <n v="0"/>
    <n v="3.2"/>
    <n v="0.76"/>
    <n v="0.28999999999999998"/>
    <n v="1.05"/>
    <n v="7.99"/>
    <n v="6"/>
    <s v="Knock - 25% chance of playing"/>
    <n v="79"/>
    <n v="53"/>
    <n v="734"/>
    <n v="325"/>
    <n v="139"/>
    <n v="63"/>
    <n v="125"/>
    <n v="43"/>
  </r>
  <r>
    <s v="Maximilian Kilman"/>
    <x v="16"/>
    <x v="1"/>
    <n v="4.3"/>
    <n v="20"/>
    <n v="1.8"/>
    <n v="0.2"/>
    <n v="0"/>
    <n v="0"/>
    <n v="990"/>
    <n v="1"/>
    <n v="23"/>
    <n v="0"/>
    <n v="0"/>
    <n v="33.4"/>
    <n v="1.8"/>
    <n v="0"/>
    <n v="0.4"/>
    <n v="4.7"/>
    <n v="0.53"/>
    <n v="0.2"/>
    <n v="0.73"/>
    <n v="16.63"/>
    <n v="11"/>
    <s v="No News"/>
    <n v="583"/>
    <n v="142"/>
    <n v="199"/>
    <n v="65"/>
    <n v="292"/>
    <n v="104"/>
    <n v="369"/>
    <n v="131"/>
  </r>
  <r>
    <s v="Neco N.Williams"/>
    <x v="18"/>
    <x v="1"/>
    <n v="4.7"/>
    <n v="20"/>
    <n v="1.8"/>
    <n v="3.4"/>
    <n v="1"/>
    <n v="0"/>
    <n v="990"/>
    <n v="0"/>
    <n v="20"/>
    <n v="0"/>
    <n v="2"/>
    <n v="48.5"/>
    <n v="1.2"/>
    <n v="1"/>
    <n v="0.3"/>
    <n v="4.3"/>
    <n v="0.88"/>
    <n v="0.73"/>
    <n v="1.61"/>
    <n v="16.25"/>
    <n v="11"/>
    <s v="No News"/>
    <n v="380"/>
    <n v="66"/>
    <n v="247"/>
    <n v="82"/>
    <n v="295"/>
    <n v="106"/>
    <n v="93"/>
    <n v="32"/>
  </r>
  <r>
    <s v="Alisson A.Becker"/>
    <x v="10"/>
    <x v="3"/>
    <n v="5.4"/>
    <n v="20"/>
    <n v="3.3"/>
    <n v="5.5"/>
    <n v="0"/>
    <n v="0"/>
    <n v="540"/>
    <n v="2"/>
    <n v="7"/>
    <n v="9"/>
    <n v="2"/>
    <n v="10.7"/>
    <n v="0"/>
    <n v="1"/>
    <n v="0"/>
    <n v="3.7"/>
    <n v="0"/>
    <n v="0.01"/>
    <n v="0.01"/>
    <n v="6.87"/>
    <n v="6"/>
    <s v="Muscle injury - Expected back 22 Nov"/>
    <n v="157"/>
    <n v="4"/>
    <n v="708"/>
    <n v="86"/>
    <n v="138"/>
    <n v="14"/>
    <n v="66"/>
    <n v="13"/>
  </r>
  <r>
    <s v="Rayan Cherki"/>
    <x v="0"/>
    <x v="2"/>
    <n v="6.3"/>
    <n v="20"/>
    <n v="3.3"/>
    <n v="3.2"/>
    <n v="1"/>
    <n v="2"/>
    <n v="213"/>
    <n v="0"/>
    <n v="3"/>
    <n v="0"/>
    <n v="2"/>
    <n v="25.5"/>
    <n v="3.2"/>
    <n v="0"/>
    <n v="0.5"/>
    <n v="3.2"/>
    <n v="0.8"/>
    <n v="0.8"/>
    <n v="1.6"/>
    <n v="1.72"/>
    <n v="3"/>
    <s v="No News"/>
    <n v="73"/>
    <n v="50"/>
    <n v="118"/>
    <n v="54"/>
    <n v="140"/>
    <n v="64"/>
    <n v="96"/>
    <n v="31"/>
  </r>
  <r>
    <s v="Federico Chiesa"/>
    <x v="10"/>
    <x v="2"/>
    <n v="6.4"/>
    <n v="20"/>
    <n v="2.5"/>
    <n v="0.3"/>
    <n v="2"/>
    <n v="1"/>
    <n v="117"/>
    <n v="0"/>
    <n v="3"/>
    <n v="0"/>
    <n v="0"/>
    <n v="17.7"/>
    <n v="1.5"/>
    <n v="0"/>
    <n v="0.2"/>
    <n v="3.1"/>
    <n v="0.8"/>
    <n v="7.0000000000000007E-2"/>
    <n v="0.87"/>
    <n v="2.02"/>
    <n v="0"/>
    <s v="No News"/>
    <n v="63"/>
    <n v="41"/>
    <n v="233"/>
    <n v="113"/>
    <n v="212"/>
    <n v="96"/>
    <n v="301"/>
    <n v="104"/>
  </r>
  <r>
    <s v="Josh King"/>
    <x v="15"/>
    <x v="2"/>
    <n v="4.5"/>
    <n v="19"/>
    <n v="1.7"/>
    <n v="4"/>
    <n v="0"/>
    <n v="0"/>
    <n v="659"/>
    <n v="2"/>
    <n v="11"/>
    <n v="0"/>
    <n v="0"/>
    <n v="27.8"/>
    <n v="1.8"/>
    <n v="0"/>
    <n v="0.4"/>
    <n v="4.2"/>
    <n v="0.8"/>
    <n v="0.35"/>
    <n v="1.1499999999999999"/>
    <n v="10.26"/>
    <n v="9"/>
    <s v="No News"/>
    <n v="468"/>
    <n v="281"/>
    <n v="204"/>
    <n v="100"/>
    <n v="309"/>
    <n v="143"/>
    <n v="87"/>
    <n v="28"/>
  </r>
  <r>
    <s v="Giorgi Mamardashvili"/>
    <x v="10"/>
    <x v="3"/>
    <n v="4.3"/>
    <n v="19"/>
    <n v="3.8"/>
    <n v="1"/>
    <n v="0"/>
    <n v="0"/>
    <n v="450"/>
    <n v="1"/>
    <n v="10"/>
    <n v="17"/>
    <n v="0"/>
    <n v="13.9"/>
    <n v="4.2"/>
    <n v="0"/>
    <n v="1"/>
    <n v="4.4000000000000004"/>
    <n v="0"/>
    <n v="0"/>
    <n v="0"/>
    <n v="7.1"/>
    <n v="5"/>
    <s v="No News"/>
    <n v="590"/>
    <n v="37"/>
    <n v="68"/>
    <n v="5"/>
    <n v="90"/>
    <n v="8"/>
    <n v="178"/>
    <n v="25"/>
  </r>
  <r>
    <s v="Nikola Milenković"/>
    <x v="18"/>
    <x v="1"/>
    <n v="5.2"/>
    <n v="19"/>
    <n v="1.7"/>
    <n v="3.8"/>
    <n v="0"/>
    <n v="0"/>
    <n v="990"/>
    <n v="0"/>
    <n v="20"/>
    <n v="0"/>
    <n v="0"/>
    <n v="26.4"/>
    <n v="1.8"/>
    <n v="0"/>
    <n v="0.3"/>
    <n v="3.7"/>
    <n v="0.56000000000000005"/>
    <n v="0.22"/>
    <n v="0.78"/>
    <n v="16.25"/>
    <n v="11"/>
    <s v="No News"/>
    <n v="219"/>
    <n v="31"/>
    <n v="215"/>
    <n v="68"/>
    <n v="313"/>
    <n v="113"/>
    <n v="88"/>
    <n v="30"/>
  </r>
  <r>
    <s v="Florian Wirtz"/>
    <x v="10"/>
    <x v="2"/>
    <n v="8"/>
    <n v="19"/>
    <n v="1.7"/>
    <n v="7.2"/>
    <n v="0"/>
    <n v="0"/>
    <n v="686"/>
    <n v="2"/>
    <n v="12"/>
    <n v="0"/>
    <n v="0"/>
    <n v="44.3"/>
    <n v="1.5"/>
    <n v="0"/>
    <n v="0.2"/>
    <n v="2.4"/>
    <n v="1.28"/>
    <n v="1.18"/>
    <n v="2.4500000000000002"/>
    <n v="10.96"/>
    <n v="7"/>
    <s v="No News"/>
    <n v="17"/>
    <n v="11"/>
    <n v="239"/>
    <n v="118"/>
    <n v="317"/>
    <n v="147"/>
    <n v="54"/>
    <n v="17"/>
  </r>
  <r>
    <s v="Jhon J.Arias"/>
    <x v="19"/>
    <x v="2"/>
    <n v="5.0999999999999996"/>
    <n v="19"/>
    <n v="1.9"/>
    <n v="0.2"/>
    <n v="0"/>
    <n v="0"/>
    <n v="545"/>
    <n v="1"/>
    <n v="10"/>
    <n v="0"/>
    <n v="1"/>
    <n v="31.7"/>
    <n v="1.2"/>
    <n v="0"/>
    <n v="0.2"/>
    <n v="3.7"/>
    <n v="1.17"/>
    <n v="0.35"/>
    <n v="1.52"/>
    <n v="6.98"/>
    <n v="7"/>
    <s v="No News"/>
    <n v="234"/>
    <n v="145"/>
    <n v="252"/>
    <n v="120"/>
    <n v="289"/>
    <n v="133"/>
    <n v="368"/>
    <n v="126"/>
  </r>
  <r>
    <s v="Kristoffer Ajer"/>
    <x v="4"/>
    <x v="1"/>
    <n v="4.4000000000000004"/>
    <n v="19"/>
    <n v="2.7"/>
    <n v="0.2"/>
    <n v="0"/>
    <n v="2"/>
    <n v="388"/>
    <n v="1"/>
    <n v="6"/>
    <n v="0"/>
    <n v="0"/>
    <n v="19"/>
    <n v="2.8"/>
    <n v="0"/>
    <n v="0.6"/>
    <n v="4.3"/>
    <n v="0.43"/>
    <n v="0.5"/>
    <n v="0.93"/>
    <n v="4.04"/>
    <n v="4"/>
    <s v="No News"/>
    <n v="499"/>
    <n v="110"/>
    <n v="135"/>
    <n v="49"/>
    <n v="190"/>
    <n v="69"/>
    <n v="392"/>
    <n v="143"/>
  </r>
  <r>
    <s v="Brajan Gruda"/>
    <x v="14"/>
    <x v="2"/>
    <n v="5.4"/>
    <n v="19"/>
    <n v="2.7"/>
    <n v="0"/>
    <n v="1"/>
    <n v="1"/>
    <n v="218"/>
    <n v="0"/>
    <n v="3"/>
    <n v="0"/>
    <n v="2"/>
    <n v="22.4"/>
    <n v="0"/>
    <n v="0"/>
    <n v="0"/>
    <n v="3.5"/>
    <n v="1.57"/>
    <n v="0.4"/>
    <n v="1.97"/>
    <n v="2.9"/>
    <n v="2"/>
    <s v="Knee injury - 25% chance of playing"/>
    <n v="184"/>
    <n v="115"/>
    <n v="719"/>
    <n v="313"/>
    <n v="193"/>
    <n v="86"/>
    <n v="570"/>
    <n v="212"/>
  </r>
  <r>
    <s v="Wilson Odobert"/>
    <x v="7"/>
    <x v="2"/>
    <n v="5.3"/>
    <n v="19"/>
    <n v="1.9"/>
    <n v="0"/>
    <n v="0"/>
    <n v="1"/>
    <n v="376"/>
    <n v="0"/>
    <n v="6"/>
    <n v="0"/>
    <n v="3"/>
    <n v="24.8"/>
    <n v="2.5"/>
    <n v="0"/>
    <n v="0.5"/>
    <n v="3.6"/>
    <n v="0.7"/>
    <n v="0.62"/>
    <n v="1.32"/>
    <n v="4.84"/>
    <n v="3"/>
    <s v="No News"/>
    <n v="208"/>
    <n v="131"/>
    <n v="156"/>
    <n v="67"/>
    <n v="291"/>
    <n v="134"/>
    <n v="607"/>
    <n v="242"/>
  </r>
  <r>
    <s v="Ibrahim Sangaré"/>
    <x v="18"/>
    <x v="2"/>
    <n v="4.9000000000000004"/>
    <n v="18"/>
    <n v="2.2000000000000002"/>
    <n v="0.1"/>
    <n v="1"/>
    <n v="0"/>
    <n v="500"/>
    <n v="0"/>
    <n v="10"/>
    <n v="0"/>
    <n v="0"/>
    <n v="20.100000000000001"/>
    <n v="1.8"/>
    <n v="0"/>
    <n v="0.4"/>
    <n v="3.7"/>
    <n v="0.63"/>
    <n v="0.12"/>
    <n v="0.75"/>
    <n v="7.83"/>
    <n v="6"/>
    <s v="No News"/>
    <n v="306"/>
    <n v="193"/>
    <n v="207"/>
    <n v="103"/>
    <n v="239"/>
    <n v="107"/>
    <n v="551"/>
    <n v="205"/>
  </r>
  <r>
    <s v="Oscar Bobb"/>
    <x v="0"/>
    <x v="2"/>
    <n v="5.3"/>
    <n v="18"/>
    <n v="2.2000000000000002"/>
    <n v="0.3"/>
    <n v="0"/>
    <n v="1"/>
    <n v="451"/>
    <n v="2"/>
    <n v="5"/>
    <n v="0"/>
    <n v="0"/>
    <n v="28.2"/>
    <n v="0.8"/>
    <n v="0"/>
    <n v="0.2"/>
    <n v="3.4"/>
    <n v="0.37"/>
    <n v="0.9"/>
    <n v="1.27"/>
    <n v="5.0999999999999996"/>
    <n v="5"/>
    <s v="No News"/>
    <n v="204"/>
    <n v="128"/>
    <n v="296"/>
    <n v="145"/>
    <n v="245"/>
    <n v="112"/>
    <n v="327"/>
    <n v="113"/>
  </r>
  <r>
    <s v="William Osula"/>
    <x v="13"/>
    <x v="0"/>
    <n v="5.5"/>
    <n v="18"/>
    <n v="1.8"/>
    <n v="0.3"/>
    <n v="1"/>
    <n v="1"/>
    <n v="213"/>
    <n v="1"/>
    <n v="4"/>
    <n v="0"/>
    <n v="0"/>
    <n v="12.1"/>
    <n v="1.5"/>
    <n v="0"/>
    <n v="0.3"/>
    <n v="3.3"/>
    <n v="0.64"/>
    <n v="0.03"/>
    <n v="0.67"/>
    <n v="3.27"/>
    <n v="1"/>
    <s v="Ankle injury - Unknown return date"/>
    <n v="151"/>
    <n v="38"/>
    <n v="231"/>
    <n v="25"/>
    <n v="302"/>
    <n v="30"/>
    <n v="318"/>
    <n v="52"/>
  </r>
  <r>
    <s v="Justin Kluivert"/>
    <x v="2"/>
    <x v="2"/>
    <n v="7"/>
    <n v="18"/>
    <n v="1.8"/>
    <n v="1"/>
    <n v="1"/>
    <n v="0"/>
    <n v="392"/>
    <n v="1"/>
    <n v="7"/>
    <n v="0"/>
    <n v="1"/>
    <n v="23.2"/>
    <n v="1.5"/>
    <n v="0"/>
    <n v="0.2"/>
    <n v="2.6"/>
    <n v="0.45"/>
    <n v="0.7"/>
    <n v="1.1499999999999999"/>
    <n v="6.02"/>
    <n v="4"/>
    <s v="No News"/>
    <n v="34"/>
    <n v="20"/>
    <n v="238"/>
    <n v="117"/>
    <n v="305"/>
    <n v="141"/>
    <n v="177"/>
    <n v="62"/>
  </r>
  <r>
    <s v="Reinildo Reinildo"/>
    <x v="8"/>
    <x v="1"/>
    <n v="4"/>
    <n v="18"/>
    <n v="2.2000000000000002"/>
    <n v="4.3"/>
    <n v="0"/>
    <n v="0"/>
    <n v="662"/>
    <n v="2"/>
    <n v="8"/>
    <n v="0"/>
    <n v="0"/>
    <n v="15.4"/>
    <n v="1"/>
    <n v="0"/>
    <n v="0.2"/>
    <n v="4.5"/>
    <n v="7.0000000000000007E-2"/>
    <n v="0.06"/>
    <n v="0.13"/>
    <n v="8.4499999999999993"/>
    <n v="8"/>
    <s v="No News"/>
    <n v="644"/>
    <n v="170"/>
    <n v="261"/>
    <n v="88"/>
    <n v="233"/>
    <n v="83"/>
    <n v="84"/>
    <n v="28"/>
  </r>
  <r>
    <s v="Tim Iroegbunam"/>
    <x v="9"/>
    <x v="2"/>
    <n v="4.9000000000000004"/>
    <n v="18"/>
    <n v="2.2000000000000002"/>
    <n v="0"/>
    <n v="0"/>
    <n v="2"/>
    <n v="337"/>
    <n v="4"/>
    <n v="1"/>
    <n v="0"/>
    <n v="0"/>
    <n v="10.1"/>
    <n v="1.8"/>
    <n v="0"/>
    <n v="0.4"/>
    <n v="3.7"/>
    <n v="0.15"/>
    <n v="0.03"/>
    <n v="0.18"/>
    <n v="5.19"/>
    <n v="4"/>
    <s v="No News"/>
    <n v="335"/>
    <n v="211"/>
    <n v="210"/>
    <n v="105"/>
    <n v="242"/>
    <n v="110"/>
    <n v="620"/>
    <n v="249"/>
  </r>
  <r>
    <s v="Rodrigo Muniz"/>
    <x v="15"/>
    <x v="0"/>
    <n v="5.4"/>
    <n v="17"/>
    <n v="2.4"/>
    <n v="1"/>
    <n v="1"/>
    <n v="1"/>
    <n v="348"/>
    <n v="1"/>
    <n v="4"/>
    <n v="0"/>
    <n v="3"/>
    <n v="22.2"/>
    <n v="0.5"/>
    <n v="0"/>
    <n v="0.1"/>
    <n v="3.1"/>
    <n v="0.94"/>
    <n v="0.01"/>
    <n v="0.95"/>
    <n v="5.66"/>
    <n v="4"/>
    <s v="Hamstring injury - 75% chance of playing"/>
    <n v="169"/>
    <n v="42"/>
    <n v="332"/>
    <n v="38"/>
    <n v="221"/>
    <n v="23"/>
    <n v="179"/>
    <n v="26"/>
  </r>
  <r>
    <s v="Ladislav Krejčí"/>
    <x v="19"/>
    <x v="1"/>
    <n v="4.5"/>
    <n v="17"/>
    <n v="2.1"/>
    <n v="0.1"/>
    <n v="1"/>
    <n v="1"/>
    <n v="720"/>
    <n v="0"/>
    <n v="17"/>
    <n v="0"/>
    <n v="0"/>
    <n v="39.6"/>
    <n v="1.2"/>
    <n v="0"/>
    <n v="0.3"/>
    <n v="3.8"/>
    <n v="0.91"/>
    <n v="1.01"/>
    <n v="1.92"/>
    <n v="10.83"/>
    <n v="8"/>
    <s v="No News"/>
    <n v="419"/>
    <n v="87"/>
    <n v="245"/>
    <n v="80"/>
    <n v="258"/>
    <n v="91"/>
    <n v="553"/>
    <n v="197"/>
  </r>
  <r>
    <s v="Konstantinos Mavropanos"/>
    <x v="16"/>
    <x v="1"/>
    <n v="4.4000000000000004"/>
    <n v="17"/>
    <n v="2.8"/>
    <n v="0"/>
    <n v="0"/>
    <n v="0"/>
    <n v="495"/>
    <n v="1"/>
    <n v="9"/>
    <n v="0"/>
    <n v="0"/>
    <n v="18.600000000000001"/>
    <n v="0.2"/>
    <n v="0"/>
    <n v="0"/>
    <n v="3.9"/>
    <n v="0.42"/>
    <n v="0.05"/>
    <n v="0.47"/>
    <n v="8.33"/>
    <n v="5"/>
    <s v="Muscle injury - Expected back 22 Nov"/>
    <n v="512"/>
    <n v="120"/>
    <n v="353"/>
    <n v="123"/>
    <n v="179"/>
    <n v="66"/>
    <n v="569"/>
    <n v="206"/>
  </r>
  <r>
    <s v="Vitalii Mykolenko"/>
    <x v="9"/>
    <x v="1"/>
    <n v="4.9000000000000004"/>
    <n v="17"/>
    <n v="2.1"/>
    <n v="0.4"/>
    <n v="0"/>
    <n v="0"/>
    <n v="715"/>
    <n v="1"/>
    <n v="12"/>
    <n v="0"/>
    <n v="0"/>
    <n v="21"/>
    <n v="2.5"/>
    <n v="0"/>
    <n v="0.5"/>
    <n v="3.5"/>
    <n v="0.05"/>
    <n v="0.7"/>
    <n v="0.75"/>
    <n v="10.79"/>
    <n v="8"/>
    <s v="No News"/>
    <n v="310"/>
    <n v="49"/>
    <n v="153"/>
    <n v="58"/>
    <n v="262"/>
    <n v="92"/>
    <n v="282"/>
    <n v="103"/>
  </r>
  <r>
    <s v="James Hill"/>
    <x v="2"/>
    <x v="1"/>
    <n v="4"/>
    <n v="17"/>
    <n v="2.4"/>
    <n v="0.8"/>
    <n v="0"/>
    <n v="0"/>
    <n v="273"/>
    <n v="2"/>
    <n v="3"/>
    <n v="0"/>
    <n v="0"/>
    <n v="9.1"/>
    <n v="0.2"/>
    <n v="0"/>
    <n v="0"/>
    <n v="4.2"/>
    <n v="0.12"/>
    <n v="0.19"/>
    <n v="0.31"/>
    <n v="3.13"/>
    <n v="2"/>
    <s v="No News"/>
    <n v="654"/>
    <n v="176"/>
    <n v="343"/>
    <n v="115"/>
    <n v="217"/>
    <n v="78"/>
    <n v="192"/>
    <n v="71"/>
  </r>
  <r>
    <s v="Lucas Estella Perri"/>
    <x v="17"/>
    <x v="3"/>
    <n v="4.5"/>
    <n v="17"/>
    <n v="2.8"/>
    <n v="0.2"/>
    <n v="0"/>
    <n v="0"/>
    <n v="540"/>
    <n v="2"/>
    <n v="12"/>
    <n v="12"/>
    <n v="0"/>
    <n v="10.9"/>
    <n v="1.2"/>
    <n v="0"/>
    <n v="0.3"/>
    <n v="3.8"/>
    <n v="0"/>
    <n v="0"/>
    <n v="0"/>
    <n v="10.16"/>
    <n v="6"/>
    <s v="No News"/>
    <n v="405"/>
    <n v="24"/>
    <n v="243"/>
    <n v="20"/>
    <n v="180"/>
    <n v="19"/>
    <n v="336"/>
    <n v="48"/>
  </r>
  <r>
    <s v="Sávio Savinho"/>
    <x v="0"/>
    <x v="2"/>
    <n v="6.9"/>
    <n v="16"/>
    <n v="2"/>
    <n v="0.5"/>
    <n v="0"/>
    <n v="1"/>
    <n v="388"/>
    <n v="2"/>
    <n v="3"/>
    <n v="0"/>
    <n v="0"/>
    <n v="27.6"/>
    <n v="2.2000000000000002"/>
    <n v="0"/>
    <n v="0.3"/>
    <n v="2.2999999999999998"/>
    <n v="0.27"/>
    <n v="0.68"/>
    <n v="0.95"/>
    <n v="4.9400000000000004"/>
    <n v="4"/>
    <s v="No News"/>
    <n v="40"/>
    <n v="24"/>
    <n v="180"/>
    <n v="86"/>
    <n v="286"/>
    <n v="131"/>
    <n v="243"/>
    <n v="86"/>
  </r>
  <r>
    <s v="Ryan Christie"/>
    <x v="2"/>
    <x v="2"/>
    <n v="5"/>
    <n v="16"/>
    <n v="1.8"/>
    <n v="0.1"/>
    <n v="1"/>
    <n v="1"/>
    <n v="226"/>
    <n v="0"/>
    <n v="6"/>
    <n v="0"/>
    <n v="0"/>
    <n v="15.6"/>
    <n v="2"/>
    <n v="0"/>
    <n v="0.4"/>
    <n v="3.2"/>
    <n v="0.78"/>
    <n v="7.0000000000000007E-2"/>
    <n v="0.85"/>
    <n v="5.68"/>
    <n v="1"/>
    <s v="No News"/>
    <n v="244"/>
    <n v="152"/>
    <n v="188"/>
    <n v="90"/>
    <n v="298"/>
    <n v="137"/>
    <n v="502"/>
    <n v="176"/>
  </r>
  <r>
    <s v="Eliezer Mayenda"/>
    <x v="8"/>
    <x v="0"/>
    <n v="5.4"/>
    <n v="16"/>
    <n v="2.2999999999999998"/>
    <n v="0.7"/>
    <n v="1"/>
    <n v="0"/>
    <n v="260"/>
    <n v="2"/>
    <n v="1"/>
    <n v="0"/>
    <n v="2"/>
    <n v="12.3"/>
    <n v="0.5"/>
    <n v="0"/>
    <n v="0.1"/>
    <n v="3"/>
    <n v="0.47"/>
    <n v="0.06"/>
    <n v="0.53"/>
    <n v="3.34"/>
    <n v="3"/>
    <s v="No News"/>
    <n v="186"/>
    <n v="43"/>
    <n v="335"/>
    <n v="39"/>
    <n v="228"/>
    <n v="24"/>
    <n v="208"/>
    <n v="32"/>
  </r>
  <r>
    <s v="Gabriel Martinelli"/>
    <x v="1"/>
    <x v="2"/>
    <n v="6.8"/>
    <n v="16"/>
    <n v="2"/>
    <n v="0.9"/>
    <n v="1"/>
    <n v="0"/>
    <n v="214"/>
    <n v="1"/>
    <n v="0"/>
    <n v="0"/>
    <n v="1"/>
    <n v="17.5"/>
    <n v="0.5"/>
    <n v="0"/>
    <n v="0.1"/>
    <n v="2.4"/>
    <n v="0.75"/>
    <n v="0.08"/>
    <n v="0.83"/>
    <n v="1.97"/>
    <n v="2"/>
    <s v="Muscle injury - 25% chance of playing"/>
    <n v="45"/>
    <n v="29"/>
    <n v="338"/>
    <n v="166"/>
    <n v="285"/>
    <n v="130"/>
    <n v="190"/>
    <n v="64"/>
  </r>
  <r>
    <s v="Senne Lammens"/>
    <x v="6"/>
    <x v="3"/>
    <n v="5"/>
    <n v="16"/>
    <n v="3.2"/>
    <n v="1.4"/>
    <n v="0"/>
    <n v="0"/>
    <n v="450"/>
    <n v="1"/>
    <n v="7"/>
    <n v="14"/>
    <n v="2"/>
    <n v="11.1"/>
    <n v="1.8"/>
    <n v="1"/>
    <n v="0.4"/>
    <n v="3.2"/>
    <n v="0"/>
    <n v="0"/>
    <n v="0"/>
    <n v="7.43"/>
    <n v="5"/>
    <s v="No News"/>
    <n v="269"/>
    <n v="11"/>
    <n v="213"/>
    <n v="19"/>
    <n v="146"/>
    <n v="16"/>
    <n v="150"/>
    <n v="21"/>
  </r>
  <r>
    <s v="Hwang Hee Chan"/>
    <x v="19"/>
    <x v="2"/>
    <n v="5.8"/>
    <n v="16"/>
    <n v="2"/>
    <n v="0.1"/>
    <n v="1"/>
    <n v="0"/>
    <n v="366"/>
    <n v="0"/>
    <n v="7"/>
    <n v="0"/>
    <n v="0"/>
    <n v="13.7"/>
    <n v="0.8"/>
    <n v="0"/>
    <n v="0.1"/>
    <n v="2.8"/>
    <n v="0.65"/>
    <n v="0.14000000000000001"/>
    <n v="0.79"/>
    <n v="7.28"/>
    <n v="5"/>
    <s v="No News"/>
    <n v="107"/>
    <n v="72"/>
    <n v="302"/>
    <n v="150"/>
    <n v="282"/>
    <n v="127"/>
    <n v="450"/>
    <n v="154"/>
  </r>
  <r>
    <s v="Emile Smith Rowe"/>
    <x v="15"/>
    <x v="2"/>
    <n v="5.6"/>
    <n v="16"/>
    <n v="1.5"/>
    <n v="0.4"/>
    <n v="1"/>
    <n v="0"/>
    <n v="216"/>
    <n v="0"/>
    <n v="2"/>
    <n v="0"/>
    <n v="0"/>
    <n v="18"/>
    <n v="1"/>
    <n v="0"/>
    <n v="0.2"/>
    <n v="2.9"/>
    <n v="1.02"/>
    <n v="0.13"/>
    <n v="1.1499999999999999"/>
    <n v="3.28"/>
    <n v="1"/>
    <s v="No News"/>
    <n v="128"/>
    <n v="82"/>
    <n v="275"/>
    <n v="133"/>
    <n v="331"/>
    <n v="156"/>
    <n v="258"/>
    <n v="91"/>
  </r>
  <r>
    <s v="Patrick Dorgu"/>
    <x v="6"/>
    <x v="1"/>
    <n v="4.3"/>
    <n v="16"/>
    <n v="1.6"/>
    <n v="2.9"/>
    <n v="0"/>
    <n v="1"/>
    <n v="622"/>
    <n v="1"/>
    <n v="11"/>
    <n v="0"/>
    <n v="0"/>
    <n v="32.1"/>
    <n v="1.5"/>
    <n v="0"/>
    <n v="0.3"/>
    <n v="3.7"/>
    <n v="0.56999999999999995"/>
    <n v="0.73"/>
    <n v="1.3"/>
    <n v="11.39"/>
    <n v="6"/>
    <s v="No News"/>
    <n v="606"/>
    <n v="155"/>
    <n v="223"/>
    <n v="72"/>
    <n v="318"/>
    <n v="114"/>
    <n v="104"/>
    <n v="37"/>
  </r>
  <r>
    <s v="Axel Tuanzebe"/>
    <x v="11"/>
    <x v="1"/>
    <n v="3.9"/>
    <n v="16"/>
    <n v="3.2"/>
    <n v="1.8"/>
    <n v="0"/>
    <n v="0"/>
    <n v="450"/>
    <n v="1"/>
    <n v="9"/>
    <n v="0"/>
    <n v="0"/>
    <n v="11.9"/>
    <n v="3.8"/>
    <n v="0"/>
    <n v="1"/>
    <n v="4.0999999999999996"/>
    <n v="0"/>
    <n v="0.02"/>
    <n v="0.02"/>
    <n v="11.96"/>
    <n v="5"/>
    <s v="No News"/>
    <n v="704"/>
    <n v="210"/>
    <n v="85"/>
    <n v="30"/>
    <n v="141"/>
    <n v="50"/>
    <n v="133"/>
    <n v="50"/>
  </r>
  <r>
    <s v="Lamare Bogarde"/>
    <x v="12"/>
    <x v="1"/>
    <n v="4"/>
    <n v="16"/>
    <n v="2.2999999999999998"/>
    <n v="0.6"/>
    <n v="0"/>
    <n v="0"/>
    <n v="291"/>
    <n v="1"/>
    <n v="2"/>
    <n v="0"/>
    <n v="3"/>
    <n v="6.8"/>
    <n v="0.2"/>
    <n v="0"/>
    <n v="0"/>
    <n v="4"/>
    <n v="0"/>
    <n v="0.09"/>
    <n v="0.09"/>
    <n v="3.37"/>
    <n v="3"/>
    <s v="No News"/>
    <n v="670"/>
    <n v="186"/>
    <n v="345"/>
    <n v="117"/>
    <n v="223"/>
    <n v="80"/>
    <n v="214"/>
    <n v="79"/>
  </r>
  <r>
    <s v="Anthony Elanga"/>
    <x v="13"/>
    <x v="2"/>
    <n v="6.7"/>
    <n v="16"/>
    <n v="1.5"/>
    <n v="3.4"/>
    <n v="0"/>
    <n v="0"/>
    <n v="411"/>
    <n v="2"/>
    <n v="9"/>
    <n v="0"/>
    <n v="0"/>
    <n v="23.1"/>
    <n v="1"/>
    <n v="0"/>
    <n v="0.1"/>
    <n v="2.4"/>
    <n v="0.78"/>
    <n v="0.4"/>
    <n v="1.18"/>
    <n v="5.62"/>
    <n v="4"/>
    <s v="No News"/>
    <n v="49"/>
    <n v="33"/>
    <n v="281"/>
    <n v="138"/>
    <n v="333"/>
    <n v="157"/>
    <n v="92"/>
    <n v="30"/>
  </r>
  <r>
    <s v="Carlos Baleba"/>
    <x v="14"/>
    <x v="2"/>
    <n v="4.7"/>
    <n v="16"/>
    <n v="1.5"/>
    <n v="2"/>
    <n v="0"/>
    <n v="0"/>
    <n v="644"/>
    <n v="4"/>
    <n v="7"/>
    <n v="0"/>
    <n v="0"/>
    <n v="8.4"/>
    <n v="2"/>
    <n v="0"/>
    <n v="0.4"/>
    <n v="3.4"/>
    <n v="0.14000000000000001"/>
    <n v="0.17"/>
    <n v="0.31"/>
    <n v="8.11"/>
    <n v="10"/>
    <s v="No News"/>
    <n v="384"/>
    <n v="240"/>
    <n v="184"/>
    <n v="88"/>
    <n v="326"/>
    <n v="151"/>
    <n v="128"/>
    <n v="46"/>
  </r>
  <r>
    <s v="Jacob Bruun Larsen"/>
    <x v="11"/>
    <x v="2"/>
    <n v="5.3"/>
    <n v="16"/>
    <n v="1.8"/>
    <n v="0"/>
    <n v="0"/>
    <n v="1"/>
    <n v="411"/>
    <n v="1"/>
    <n v="11"/>
    <n v="0"/>
    <n v="0"/>
    <n v="16.899999999999999"/>
    <n v="1.2"/>
    <n v="0"/>
    <n v="0.2"/>
    <n v="3"/>
    <n v="0.24"/>
    <n v="0.6"/>
    <n v="0.84"/>
    <n v="10.14"/>
    <n v="4"/>
    <s v="No News"/>
    <n v="193"/>
    <n v="120"/>
    <n v="257"/>
    <n v="124"/>
    <n v="300"/>
    <n v="139"/>
    <n v="616"/>
    <n v="247"/>
  </r>
  <r>
    <s v="Maxim De Cuyper"/>
    <x v="14"/>
    <x v="1"/>
    <n v="4.3"/>
    <n v="16"/>
    <n v="1.8"/>
    <n v="1.9"/>
    <n v="1"/>
    <n v="0"/>
    <n v="411"/>
    <n v="0"/>
    <n v="8"/>
    <n v="0"/>
    <n v="1"/>
    <n v="24.3"/>
    <n v="0.5"/>
    <n v="0"/>
    <n v="0.1"/>
    <n v="3.7"/>
    <n v="0.74"/>
    <n v="0.75"/>
    <n v="1.49"/>
    <n v="6.35"/>
    <n v="5"/>
    <s v="No News"/>
    <n v="592"/>
    <n v="148"/>
    <n v="308"/>
    <n v="102"/>
    <n v="293"/>
    <n v="105"/>
    <n v="131"/>
    <n v="49"/>
  </r>
  <r>
    <s v="Wesley Fofana"/>
    <x v="5"/>
    <x v="1"/>
    <n v="4.4000000000000004"/>
    <n v="15"/>
    <n v="3"/>
    <n v="0.2"/>
    <n v="0"/>
    <n v="0"/>
    <n v="307"/>
    <n v="2"/>
    <n v="3"/>
    <n v="0"/>
    <n v="0"/>
    <n v="7.3"/>
    <n v="3"/>
    <n v="0"/>
    <n v="0.7"/>
    <n v="3.4"/>
    <n v="0.13"/>
    <n v="0.03"/>
    <n v="0.16"/>
    <n v="2.71"/>
    <n v="4"/>
    <s v="No News"/>
    <n v="518"/>
    <n v="124"/>
    <n v="122"/>
    <n v="45"/>
    <n v="163"/>
    <n v="60"/>
    <n v="365"/>
    <n v="129"/>
  </r>
  <r>
    <s v="James Milner"/>
    <x v="14"/>
    <x v="2"/>
    <n v="5"/>
    <n v="15"/>
    <n v="2.1"/>
    <n v="0.1"/>
    <n v="1"/>
    <n v="1"/>
    <n v="187"/>
    <n v="0"/>
    <n v="7"/>
    <n v="0"/>
    <n v="0"/>
    <n v="16.8"/>
    <n v="1.2"/>
    <n v="0"/>
    <n v="0.2"/>
    <n v="3"/>
    <n v="0.79"/>
    <n v="0.4"/>
    <n v="1.19"/>
    <n v="3.34"/>
    <n v="1"/>
    <s v="Muscle injury - 25% chance of playing"/>
    <n v="238"/>
    <n v="149"/>
    <n v="251"/>
    <n v="119"/>
    <n v="263"/>
    <n v="121"/>
    <n v="441"/>
    <n v="153"/>
  </r>
  <r>
    <s v="Conor Bradley"/>
    <x v="10"/>
    <x v="1"/>
    <n v="5"/>
    <n v="15"/>
    <n v="1.7"/>
    <n v="0.3"/>
    <n v="0"/>
    <n v="1"/>
    <n v="529"/>
    <n v="1"/>
    <n v="11"/>
    <n v="0"/>
    <n v="0"/>
    <n v="17"/>
    <n v="3"/>
    <n v="0"/>
    <n v="0.6"/>
    <n v="3"/>
    <n v="7.0000000000000007E-2"/>
    <n v="0.53"/>
    <n v="0.6"/>
    <n v="8.06"/>
    <n v="7"/>
    <s v="No News"/>
    <n v="275"/>
    <n v="43"/>
    <n v="126"/>
    <n v="47"/>
    <n v="312"/>
    <n v="112"/>
    <n v="324"/>
    <n v="114"/>
  </r>
  <r>
    <s v="Rico Lewis"/>
    <x v="0"/>
    <x v="1"/>
    <n v="4.8"/>
    <n v="15"/>
    <n v="3"/>
    <n v="1.6"/>
    <n v="0"/>
    <n v="1"/>
    <n v="172"/>
    <n v="1"/>
    <n v="3"/>
    <n v="0"/>
    <n v="2"/>
    <n v="9.4"/>
    <n v="0.2"/>
    <n v="1"/>
    <n v="0"/>
    <n v="3.1"/>
    <n v="0.02"/>
    <n v="0.91"/>
    <n v="0.93"/>
    <n v="2.57"/>
    <n v="2"/>
    <s v="No News"/>
    <n v="369"/>
    <n v="63"/>
    <n v="365"/>
    <n v="128"/>
    <n v="164"/>
    <n v="61"/>
    <n v="140"/>
    <n v="53"/>
  </r>
  <r>
    <s v="Sam Johnstone"/>
    <x v="19"/>
    <x v="3"/>
    <n v="4.5"/>
    <n v="15"/>
    <n v="2.1"/>
    <n v="0.1"/>
    <n v="0"/>
    <n v="0"/>
    <n v="630"/>
    <n v="0"/>
    <n v="14"/>
    <n v="24"/>
    <n v="0"/>
    <n v="19.5"/>
    <n v="1.8"/>
    <n v="0"/>
    <n v="0.4"/>
    <n v="3.3"/>
    <n v="0"/>
    <n v="0.01"/>
    <n v="0.01"/>
    <n v="10.35"/>
    <n v="7"/>
    <s v="No News"/>
    <n v="395"/>
    <n v="22"/>
    <n v="202"/>
    <n v="18"/>
    <n v="257"/>
    <n v="23"/>
    <n v="400"/>
    <n v="62"/>
  </r>
  <r>
    <s v="Josh Laurent"/>
    <x v="11"/>
    <x v="2"/>
    <n v="4.9000000000000004"/>
    <n v="15"/>
    <n v="1.5"/>
    <n v="0"/>
    <n v="0"/>
    <n v="0"/>
    <n v="557"/>
    <n v="0"/>
    <n v="14"/>
    <n v="0"/>
    <n v="0"/>
    <n v="12.9"/>
    <n v="1"/>
    <n v="0"/>
    <n v="0.2"/>
    <n v="3.1"/>
    <n v="0.16"/>
    <n v="0.15"/>
    <n v="0.31"/>
    <n v="13.31"/>
    <n v="6"/>
    <s v="No News"/>
    <n v="295"/>
    <n v="186"/>
    <n v="271"/>
    <n v="131"/>
    <n v="329"/>
    <n v="154"/>
    <n v="627"/>
    <n v="255"/>
  </r>
  <r>
    <s v="Alphonse Areola"/>
    <x v="16"/>
    <x v="3"/>
    <n v="4.3"/>
    <n v="15"/>
    <n v="2.1"/>
    <n v="2.1"/>
    <n v="0"/>
    <n v="0"/>
    <n v="630"/>
    <n v="0"/>
    <n v="12"/>
    <n v="24"/>
    <n v="0"/>
    <n v="18.8"/>
    <n v="2.2000000000000002"/>
    <n v="0"/>
    <n v="0.5"/>
    <n v="3.5"/>
    <n v="0"/>
    <n v="0"/>
    <n v="0"/>
    <n v="11.19"/>
    <n v="7"/>
    <s v="No News"/>
    <n v="571"/>
    <n v="33"/>
    <n v="164"/>
    <n v="16"/>
    <n v="254"/>
    <n v="22"/>
    <n v="122"/>
    <n v="17"/>
  </r>
  <r>
    <s v="Yéremy Yeremy"/>
    <x v="3"/>
    <x v="2"/>
    <n v="5.8"/>
    <n v="15"/>
    <n v="1.7"/>
    <n v="0.1"/>
    <n v="0"/>
    <n v="0"/>
    <n v="529"/>
    <n v="3"/>
    <n v="4"/>
    <n v="0"/>
    <n v="0"/>
    <n v="27.8"/>
    <n v="1.5"/>
    <n v="0"/>
    <n v="0.3"/>
    <n v="2.6"/>
    <n v="1.39"/>
    <n v="1.02"/>
    <n v="2.41"/>
    <n v="6.47"/>
    <n v="7"/>
    <s v="No News"/>
    <n v="117"/>
    <n v="76"/>
    <n v="232"/>
    <n v="112"/>
    <n v="315"/>
    <n v="145"/>
    <n v="404"/>
    <n v="136"/>
  </r>
  <r>
    <s v="Jackson Tchatchoua"/>
    <x v="19"/>
    <x v="1"/>
    <n v="4.5"/>
    <n v="14"/>
    <n v="1.4"/>
    <n v="0"/>
    <n v="0"/>
    <n v="0"/>
    <n v="517"/>
    <n v="0"/>
    <n v="15"/>
    <n v="0"/>
    <n v="0"/>
    <n v="23"/>
    <n v="1.2"/>
    <n v="0"/>
    <n v="0.3"/>
    <n v="3.1"/>
    <n v="0.26"/>
    <n v="0.1"/>
    <n v="0.36"/>
    <n v="9.18"/>
    <n v="4"/>
    <s v="No News"/>
    <n v="444"/>
    <n v="95"/>
    <n v="246"/>
    <n v="81"/>
    <n v="338"/>
    <n v="121"/>
    <n v="652"/>
    <n v="224"/>
  </r>
  <r>
    <s v="Cristhian Mosquera"/>
    <x v="1"/>
    <x v="1"/>
    <n v="5.4"/>
    <n v="14"/>
    <n v="2"/>
    <n v="0.2"/>
    <n v="0"/>
    <n v="0"/>
    <n v="294"/>
    <n v="1"/>
    <n v="3"/>
    <n v="0"/>
    <n v="1"/>
    <n v="9"/>
    <n v="0.5"/>
    <n v="0"/>
    <n v="0.1"/>
    <n v="2.6"/>
    <n v="0"/>
    <n v="0.09"/>
    <n v="0.09"/>
    <n v="1.63"/>
    <n v="2"/>
    <s v="No News"/>
    <n v="181"/>
    <n v="23"/>
    <n v="334"/>
    <n v="112"/>
    <n v="281"/>
    <n v="102"/>
    <n v="396"/>
    <n v="147"/>
  </r>
  <r>
    <s v="Evann Guessand"/>
    <x v="12"/>
    <x v="2"/>
    <n v="6.2"/>
    <n v="14"/>
    <n v="1.4"/>
    <n v="0"/>
    <n v="0"/>
    <n v="0"/>
    <n v="420"/>
    <n v="1"/>
    <n v="6"/>
    <n v="0"/>
    <n v="0"/>
    <n v="14.7"/>
    <n v="1.2"/>
    <n v="0"/>
    <n v="0.2"/>
    <n v="2.2999999999999998"/>
    <n v="0.38"/>
    <n v="0.37"/>
    <n v="0.75"/>
    <n v="6.82"/>
    <n v="5"/>
    <s v="No News"/>
    <n v="81"/>
    <n v="54"/>
    <n v="258"/>
    <n v="125"/>
    <n v="348"/>
    <n v="165"/>
    <n v="597"/>
    <n v="234"/>
  </r>
  <r>
    <s v="Aaron Wan-Bissaka"/>
    <x v="16"/>
    <x v="1"/>
    <n v="4.3"/>
    <n v="14"/>
    <n v="2"/>
    <n v="5.7"/>
    <n v="0"/>
    <n v="1"/>
    <n v="561"/>
    <n v="0"/>
    <n v="16"/>
    <n v="0"/>
    <n v="0"/>
    <n v="19"/>
    <n v="3"/>
    <n v="0"/>
    <n v="0.7"/>
    <n v="3.3"/>
    <n v="0"/>
    <n v="0.25"/>
    <n v="0.25"/>
    <n v="9.93"/>
    <n v="6"/>
    <s v="No News"/>
    <n v="584"/>
    <n v="143"/>
    <n v="121"/>
    <n v="44"/>
    <n v="271"/>
    <n v="97"/>
    <n v="63"/>
    <n v="20"/>
  </r>
  <r>
    <s v="Igor Jesus Igor Jesus"/>
    <x v="18"/>
    <x v="0"/>
    <n v="5.8"/>
    <n v="14"/>
    <n v="1.4"/>
    <n v="0.7"/>
    <n v="0"/>
    <n v="1"/>
    <n v="326"/>
    <n v="0"/>
    <n v="11"/>
    <n v="0"/>
    <n v="0"/>
    <n v="16.100000000000001"/>
    <n v="2"/>
    <n v="0"/>
    <n v="0.3"/>
    <n v="2.4"/>
    <n v="1.87"/>
    <n v="0.11"/>
    <n v="1.98"/>
    <n v="7.19"/>
    <n v="3"/>
    <s v="No News"/>
    <n v="116"/>
    <n v="30"/>
    <n v="194"/>
    <n v="19"/>
    <n v="347"/>
    <n v="36"/>
    <n v="201"/>
    <n v="30"/>
  </r>
  <r>
    <s v="Will Hughes"/>
    <x v="3"/>
    <x v="2"/>
    <n v="4.8"/>
    <n v="14"/>
    <n v="1.6"/>
    <n v="0.1"/>
    <n v="0"/>
    <n v="0"/>
    <n v="446"/>
    <n v="3"/>
    <n v="3"/>
    <n v="0"/>
    <n v="0"/>
    <n v="18.2"/>
    <n v="0.8"/>
    <n v="0"/>
    <n v="0.2"/>
    <n v="2.9"/>
    <n v="0.15"/>
    <n v="0.6"/>
    <n v="0.75"/>
    <n v="4.92"/>
    <n v="5"/>
    <s v="No News"/>
    <n v="352"/>
    <n v="223"/>
    <n v="289"/>
    <n v="139"/>
    <n v="321"/>
    <n v="149"/>
    <n v="469"/>
    <n v="158"/>
  </r>
  <r>
    <s v="Tosin Tosin"/>
    <x v="5"/>
    <x v="1"/>
    <n v="4.3"/>
    <n v="14"/>
    <n v="2"/>
    <n v="0.4"/>
    <n v="0"/>
    <n v="0"/>
    <n v="377"/>
    <n v="1"/>
    <n v="6"/>
    <n v="0"/>
    <n v="0"/>
    <n v="12.2"/>
    <n v="0.8"/>
    <n v="0"/>
    <n v="0.2"/>
    <n v="3.3"/>
    <n v="0.05"/>
    <n v="7.0000000000000007E-2"/>
    <n v="0.11"/>
    <n v="5.39"/>
    <n v="3"/>
    <s v="No News"/>
    <n v="573"/>
    <n v="134"/>
    <n v="284"/>
    <n v="94"/>
    <n v="270"/>
    <n v="96"/>
    <n v="272"/>
    <n v="102"/>
  </r>
  <r>
    <s v="Lewis L.Miley"/>
    <x v="13"/>
    <x v="2"/>
    <n v="4.4000000000000004"/>
    <n v="14"/>
    <n v="1.8"/>
    <n v="2.1"/>
    <n v="0"/>
    <n v="1"/>
    <n v="273"/>
    <n v="1"/>
    <n v="3"/>
    <n v="0"/>
    <n v="0"/>
    <n v="10.9"/>
    <n v="1.8"/>
    <n v="0"/>
    <n v="0.4"/>
    <n v="3.2"/>
    <n v="0.03"/>
    <n v="0.32"/>
    <n v="0.35"/>
    <n v="3.31"/>
    <n v="2"/>
    <s v="No News"/>
    <n v="549"/>
    <n v="316"/>
    <n v="201"/>
    <n v="99"/>
    <n v="294"/>
    <n v="135"/>
    <n v="126"/>
    <n v="44"/>
  </r>
  <r>
    <s v="Simon Adingra"/>
    <x v="8"/>
    <x v="2"/>
    <n v="5.0999999999999996"/>
    <n v="14"/>
    <n v="2"/>
    <n v="0.5"/>
    <n v="0"/>
    <n v="1"/>
    <n v="297"/>
    <n v="2"/>
    <n v="5"/>
    <n v="0"/>
    <n v="0"/>
    <n v="11.5"/>
    <n v="0.2"/>
    <n v="0"/>
    <n v="0"/>
    <n v="2.7"/>
    <n v="0.14000000000000001"/>
    <n v="0.26"/>
    <n v="0.4"/>
    <n v="3.72"/>
    <n v="4"/>
    <s v="No News"/>
    <n v="237"/>
    <n v="148"/>
    <n v="372"/>
    <n v="177"/>
    <n v="279"/>
    <n v="126"/>
    <n v="232"/>
    <n v="82"/>
  </r>
  <r>
    <s v="Veljko Milosavljević"/>
    <x v="2"/>
    <x v="1"/>
    <n v="4.5"/>
    <n v="13"/>
    <n v="3.2"/>
    <n v="0"/>
    <n v="0"/>
    <n v="0"/>
    <n v="275"/>
    <n v="1"/>
    <n v="5"/>
    <n v="0"/>
    <n v="0"/>
    <n v="9"/>
    <n v="2"/>
    <n v="0"/>
    <n v="0.4"/>
    <n v="2.9"/>
    <n v="0"/>
    <n v="0.18"/>
    <n v="0.18"/>
    <n v="2.91"/>
    <n v="3"/>
    <s v="No News"/>
    <n v="484"/>
    <n v="100"/>
    <n v="183"/>
    <n v="63"/>
    <n v="144"/>
    <n v="52"/>
    <n v="611"/>
    <n v="214"/>
  </r>
  <r>
    <s v="Rodrigo R.Gomes"/>
    <x v="19"/>
    <x v="1"/>
    <n v="4.5"/>
    <n v="13"/>
    <n v="2.2000000000000002"/>
    <n v="0.1"/>
    <n v="1"/>
    <n v="0"/>
    <n v="331"/>
    <n v="0"/>
    <n v="9"/>
    <n v="0"/>
    <n v="0"/>
    <n v="20.5"/>
    <n v="0.8"/>
    <n v="0"/>
    <n v="0.2"/>
    <n v="2.9"/>
    <n v="0.95"/>
    <n v="0.22"/>
    <n v="1.17"/>
    <n v="4.3"/>
    <n v="4"/>
    <s v="Groin Injury - Expected back 17 Jan"/>
    <n v="432"/>
    <n v="90"/>
    <n v="288"/>
    <n v="98"/>
    <n v="237"/>
    <n v="86"/>
    <n v="509"/>
    <n v="186"/>
  </r>
  <r>
    <s v="Martin Ødegaard"/>
    <x v="1"/>
    <x v="2"/>
    <n v="7.8"/>
    <n v="13"/>
    <n v="2.2000000000000002"/>
    <n v="1.4"/>
    <n v="0"/>
    <n v="1"/>
    <n v="201"/>
    <n v="1"/>
    <n v="1"/>
    <n v="0"/>
    <n v="0"/>
    <n v="13"/>
    <n v="0"/>
    <n v="0"/>
    <n v="0"/>
    <n v="1.7"/>
    <n v="0.14000000000000001"/>
    <n v="0.81"/>
    <n v="0.95"/>
    <n v="2.36"/>
    <n v="4"/>
    <s v="Knee injury - Expected back 23 Nov"/>
    <n v="19"/>
    <n v="13"/>
    <n v="747"/>
    <n v="331"/>
    <n v="253"/>
    <n v="118"/>
    <n v="154"/>
    <n v="54"/>
  </r>
  <r>
    <s v="Curtis C.Jones"/>
    <x v="10"/>
    <x v="2"/>
    <n v="5.4"/>
    <n v="13"/>
    <n v="1.4"/>
    <n v="0.1"/>
    <n v="0"/>
    <n v="1"/>
    <n v="338"/>
    <n v="0"/>
    <n v="9"/>
    <n v="0"/>
    <n v="0"/>
    <n v="15.8"/>
    <n v="0.8"/>
    <n v="0"/>
    <n v="0.1"/>
    <n v="2.4"/>
    <n v="0.32"/>
    <n v="0.96"/>
    <n v="1.28"/>
    <n v="6.5"/>
    <n v="2"/>
    <s v="No News"/>
    <n v="166"/>
    <n v="102"/>
    <n v="297"/>
    <n v="146"/>
    <n v="346"/>
    <n v="164"/>
    <n v="514"/>
    <n v="181"/>
  </r>
  <r>
    <s v="Bertrand Traoré"/>
    <x v="8"/>
    <x v="2"/>
    <n v="5.5"/>
    <n v="13"/>
    <n v="2.2000000000000002"/>
    <n v="0"/>
    <n v="0"/>
    <n v="1"/>
    <n v="358"/>
    <n v="1"/>
    <n v="5"/>
    <n v="0"/>
    <n v="0"/>
    <n v="17.899999999999999"/>
    <n v="3"/>
    <n v="0"/>
    <n v="0.5"/>
    <n v="2.4"/>
    <n v="0.39"/>
    <n v="0.14000000000000001"/>
    <n v="0.53"/>
    <n v="5.59"/>
    <n v="5"/>
    <s v="No News"/>
    <n v="134"/>
    <n v="86"/>
    <n v="129"/>
    <n v="60"/>
    <n v="248"/>
    <n v="114"/>
    <n v="577"/>
    <n v="216"/>
  </r>
  <r>
    <s v="Brian Brobbey"/>
    <x v="8"/>
    <x v="0"/>
    <n v="5.5"/>
    <n v="13"/>
    <n v="2.2000000000000002"/>
    <n v="0.1"/>
    <n v="1"/>
    <n v="1"/>
    <n v="106"/>
    <n v="0"/>
    <n v="1"/>
    <n v="0"/>
    <n v="0"/>
    <n v="9.4"/>
    <n v="2.5"/>
    <n v="0"/>
    <n v="0.5"/>
    <n v="2.4"/>
    <n v="0.11"/>
    <n v="0.04"/>
    <n v="0.15"/>
    <n v="2.2799999999999998"/>
    <n v="0"/>
    <s v="No News"/>
    <n v="146"/>
    <n v="35"/>
    <n v="157"/>
    <n v="17"/>
    <n v="249"/>
    <n v="26"/>
    <n v="472"/>
    <n v="66"/>
  </r>
  <r>
    <s v="Jean-Ricner Bellegarde"/>
    <x v="19"/>
    <x v="2"/>
    <n v="5.2"/>
    <n v="13"/>
    <n v="1.3"/>
    <n v="0"/>
    <n v="0"/>
    <n v="0"/>
    <n v="474"/>
    <n v="0"/>
    <n v="16"/>
    <n v="0"/>
    <n v="0"/>
    <n v="18.5"/>
    <n v="1.2"/>
    <n v="0"/>
    <n v="0.2"/>
    <n v="2.5"/>
    <n v="0.41"/>
    <n v="0.44"/>
    <n v="0.85"/>
    <n v="8.09"/>
    <n v="6"/>
    <s v="No News"/>
    <n v="220"/>
    <n v="137"/>
    <n v="256"/>
    <n v="123"/>
    <n v="355"/>
    <n v="169"/>
    <n v="580"/>
    <n v="219"/>
  </r>
  <r>
    <s v="Manuel Ugarte"/>
    <x v="6"/>
    <x v="2"/>
    <n v="4.8"/>
    <n v="13"/>
    <n v="1.4"/>
    <n v="0.1"/>
    <n v="0"/>
    <n v="0"/>
    <n v="299"/>
    <n v="0"/>
    <n v="11"/>
    <n v="0"/>
    <n v="0"/>
    <n v="8.1999999999999993"/>
    <n v="0.8"/>
    <n v="0"/>
    <n v="0.2"/>
    <n v="2.7"/>
    <n v="0.05"/>
    <n v="0.03"/>
    <n v="0.08"/>
    <n v="8.15"/>
    <n v="2"/>
    <s v="No News"/>
    <n v="363"/>
    <n v="229"/>
    <n v="290"/>
    <n v="140"/>
    <n v="339"/>
    <n v="158"/>
    <n v="414"/>
    <n v="140"/>
  </r>
  <r>
    <s v="Omari Hutchinson"/>
    <x v="18"/>
    <x v="2"/>
    <n v="5.4"/>
    <n v="13"/>
    <n v="2.2000000000000002"/>
    <n v="0"/>
    <n v="0"/>
    <n v="2"/>
    <n v="128"/>
    <n v="0"/>
    <n v="2"/>
    <n v="0"/>
    <n v="1"/>
    <n v="18.3"/>
    <n v="2.2000000000000002"/>
    <n v="0"/>
    <n v="0.4"/>
    <n v="2.4"/>
    <n v="0.47"/>
    <n v="0.73"/>
    <n v="1.2"/>
    <n v="4.33"/>
    <n v="0"/>
    <s v="No News"/>
    <n v="182"/>
    <n v="113"/>
    <n v="176"/>
    <n v="83"/>
    <n v="247"/>
    <n v="113"/>
    <n v="632"/>
    <n v="258"/>
  </r>
  <r>
    <s v="Tanaka Tanaka"/>
    <x v="17"/>
    <x v="2"/>
    <n v="4.8"/>
    <n v="13"/>
    <n v="1.6"/>
    <n v="0.1"/>
    <n v="0"/>
    <n v="0"/>
    <n v="320"/>
    <n v="2"/>
    <n v="6"/>
    <n v="0"/>
    <n v="0"/>
    <n v="9"/>
    <n v="1.5"/>
    <n v="0"/>
    <n v="0.3"/>
    <n v="2.7"/>
    <n v="0.16"/>
    <n v="0.11"/>
    <n v="0.27"/>
    <n v="5.07"/>
    <n v="4"/>
    <s v="No News"/>
    <n v="364"/>
    <n v="230"/>
    <n v="226"/>
    <n v="110"/>
    <n v="322"/>
    <n v="150"/>
    <n v="440"/>
    <n v="152"/>
  </r>
  <r>
    <s v="Murillo Murillo"/>
    <x v="18"/>
    <x v="1"/>
    <n v="5.3"/>
    <n v="13"/>
    <n v="1.6"/>
    <n v="2"/>
    <n v="0"/>
    <n v="0"/>
    <n v="649"/>
    <n v="0"/>
    <n v="13"/>
    <n v="0"/>
    <n v="0"/>
    <n v="16.100000000000001"/>
    <n v="1.5"/>
    <n v="0"/>
    <n v="0.3"/>
    <n v="2.5"/>
    <n v="0.06"/>
    <n v="0.24"/>
    <n v="0.3"/>
    <n v="9.7799999999999994"/>
    <n v="8"/>
    <s v="No News"/>
    <n v="209"/>
    <n v="29"/>
    <n v="230"/>
    <n v="76"/>
    <n v="323"/>
    <n v="116"/>
    <n v="129"/>
    <n v="48"/>
  </r>
  <r>
    <s v="Fábio Carvalho"/>
    <x v="4"/>
    <x v="2"/>
    <n v="4.9000000000000004"/>
    <n v="13"/>
    <n v="2.2000000000000002"/>
    <n v="0.2"/>
    <n v="1"/>
    <n v="0"/>
    <n v="100"/>
    <n v="0"/>
    <n v="4"/>
    <n v="0"/>
    <n v="1"/>
    <n v="8.1"/>
    <n v="0.2"/>
    <n v="0"/>
    <n v="0"/>
    <n v="2.7"/>
    <n v="0.7"/>
    <n v="0.03"/>
    <n v="0.73"/>
    <n v="2.08"/>
    <n v="1"/>
    <s v="No News"/>
    <n v="313"/>
    <n v="197"/>
    <n v="368"/>
    <n v="173"/>
    <n v="240"/>
    <n v="108"/>
    <n v="363"/>
    <n v="125"/>
  </r>
  <r>
    <s v="Rodrigo 'Rodri' Rodrigo"/>
    <x v="0"/>
    <x v="2"/>
    <n v="6.3"/>
    <n v="12"/>
    <n v="2"/>
    <n v="0.4"/>
    <n v="0"/>
    <n v="0"/>
    <n v="292"/>
    <n v="1"/>
    <n v="3"/>
    <n v="0"/>
    <n v="0"/>
    <n v="12"/>
    <n v="0.2"/>
    <n v="0"/>
    <n v="0"/>
    <n v="1.9"/>
    <n v="0.14000000000000001"/>
    <n v="0.22"/>
    <n v="0.36"/>
    <n v="3.78"/>
    <n v="4"/>
    <s v="Muscle injury - 25% chance of playing"/>
    <n v="70"/>
    <n v="48"/>
    <n v="382"/>
    <n v="181"/>
    <n v="283"/>
    <n v="128"/>
    <n v="246"/>
    <n v="88"/>
  </r>
  <r>
    <s v="Destiny Udogie"/>
    <x v="7"/>
    <x v="1"/>
    <n v="4.4000000000000004"/>
    <n v="12"/>
    <n v="1.7"/>
    <n v="0.4"/>
    <n v="0"/>
    <n v="1"/>
    <n v="341"/>
    <n v="0"/>
    <n v="5"/>
    <n v="0"/>
    <n v="0"/>
    <n v="19.7"/>
    <n v="1.2"/>
    <n v="0"/>
    <n v="0.3"/>
    <n v="2.7"/>
    <n v="0.02"/>
    <n v="0.27"/>
    <n v="0.28999999999999998"/>
    <n v="5.94"/>
    <n v="3"/>
    <s v="No News"/>
    <n v="526"/>
    <n v="127"/>
    <n v="242"/>
    <n v="78"/>
    <n v="307"/>
    <n v="110"/>
    <n v="259"/>
    <n v="98"/>
  </r>
  <r>
    <s v="Kevin Danso"/>
    <x v="7"/>
    <x v="1"/>
    <n v="4.3"/>
    <n v="12"/>
    <n v="1.7"/>
    <n v="0.1"/>
    <n v="0"/>
    <n v="0"/>
    <n v="257"/>
    <n v="1"/>
    <n v="4"/>
    <n v="0"/>
    <n v="1"/>
    <n v="6.8"/>
    <n v="2.2000000000000002"/>
    <n v="0"/>
    <n v="0.5"/>
    <n v="2.8"/>
    <n v="0"/>
    <n v="0.06"/>
    <n v="0.06"/>
    <n v="4.45"/>
    <n v="3"/>
    <s v="No News"/>
    <n v="577"/>
    <n v="138"/>
    <n v="165"/>
    <n v="60"/>
    <n v="306"/>
    <n v="109"/>
    <n v="403"/>
    <n v="149"/>
  </r>
  <r>
    <s v="Matt O'Riley"/>
    <x v="14"/>
    <x v="2"/>
    <n v="5.5"/>
    <n v="12"/>
    <n v="6"/>
    <n v="0.4"/>
    <n v="1"/>
    <n v="0"/>
    <n v="177"/>
    <n v="1"/>
    <n v="2"/>
    <n v="0"/>
    <n v="2"/>
    <n v="19"/>
    <n v="0"/>
    <n v="1"/>
    <n v="0"/>
    <n v="2.2000000000000002"/>
    <n v="1.21"/>
    <n v="0.17"/>
    <n v="1.38"/>
    <n v="2.12"/>
    <n v="2"/>
    <s v="has joined Marseille on loan for the rest of the season."/>
    <n v="142"/>
    <n v="91"/>
    <n v="725"/>
    <n v="318"/>
    <n v="8"/>
    <n v="2"/>
    <n v="274"/>
    <n v="95"/>
  </r>
  <r>
    <s v="Frank Onyeka"/>
    <x v="4"/>
    <x v="2"/>
    <n v="4.9000000000000004"/>
    <n v="12"/>
    <n v="2"/>
    <n v="0.1"/>
    <n v="0"/>
    <n v="2"/>
    <n v="88"/>
    <n v="0"/>
    <n v="2"/>
    <n v="0"/>
    <n v="0"/>
    <n v="4.5999999999999996"/>
    <n v="0.2"/>
    <n v="0"/>
    <n v="0"/>
    <n v="2.4"/>
    <n v="0"/>
    <n v="0.36"/>
    <n v="0.36"/>
    <n v="2.02"/>
    <n v="0"/>
    <s v="No News"/>
    <n v="317"/>
    <n v="200"/>
    <n v="369"/>
    <n v="174"/>
    <n v="278"/>
    <n v="125"/>
    <n v="561"/>
    <n v="208"/>
  </r>
  <r>
    <s v="Anthony Gordon"/>
    <x v="13"/>
    <x v="2"/>
    <n v="7.4"/>
    <n v="12"/>
    <n v="1.7"/>
    <n v="2"/>
    <n v="0"/>
    <n v="0"/>
    <n v="461"/>
    <n v="3"/>
    <n v="7"/>
    <n v="0"/>
    <n v="0"/>
    <n v="26.4"/>
    <n v="1.2"/>
    <n v="0"/>
    <n v="0.2"/>
    <n v="1.6"/>
    <n v="1.34"/>
    <n v="0.68"/>
    <n v="2.02"/>
    <n v="4.5599999999999996"/>
    <n v="7"/>
    <s v="Hip injury - 50% chance of playing"/>
    <n v="24"/>
    <n v="16"/>
    <n v="259"/>
    <n v="126"/>
    <n v="316"/>
    <n v="146"/>
    <n v="127"/>
    <n v="45"/>
  </r>
  <r>
    <s v="Omar Marmoush"/>
    <x v="0"/>
    <x v="2"/>
    <n v="8.3000000000000007"/>
    <n v="12"/>
    <n v="2"/>
    <n v="2.6"/>
    <n v="0"/>
    <n v="1"/>
    <n v="178"/>
    <n v="0"/>
    <n v="3"/>
    <n v="0"/>
    <n v="2"/>
    <n v="14.2"/>
    <n v="0.8"/>
    <n v="0"/>
    <n v="0.1"/>
    <n v="1.4"/>
    <n v="1.07"/>
    <n v="0.45"/>
    <n v="1.52"/>
    <n v="2.2999999999999998"/>
    <n v="2"/>
    <s v="No News"/>
    <n v="12"/>
    <n v="7"/>
    <n v="305"/>
    <n v="152"/>
    <n v="287"/>
    <n v="132"/>
    <n v="110"/>
    <n v="38"/>
  </r>
  <r>
    <s v="Youri Tielemans"/>
    <x v="12"/>
    <x v="2"/>
    <n v="5.9"/>
    <n v="12"/>
    <n v="2.4"/>
    <n v="0.6"/>
    <n v="0"/>
    <n v="1"/>
    <n v="334"/>
    <n v="1"/>
    <n v="4"/>
    <n v="0"/>
    <n v="0"/>
    <n v="17.100000000000001"/>
    <n v="1"/>
    <n v="0"/>
    <n v="0.2"/>
    <n v="2"/>
    <n v="0.15"/>
    <n v="0.37"/>
    <n v="0.52"/>
    <n v="6.57"/>
    <n v="4"/>
    <s v="No News"/>
    <n v="95"/>
    <n v="62"/>
    <n v="278"/>
    <n v="135"/>
    <n v="222"/>
    <n v="100"/>
    <n v="227"/>
    <n v="78"/>
  </r>
  <r>
    <s v="Thierno Barry"/>
    <x v="9"/>
    <x v="0"/>
    <n v="5.7"/>
    <n v="12"/>
    <n v="1.1000000000000001"/>
    <n v="0.3"/>
    <n v="0"/>
    <n v="0"/>
    <n v="380"/>
    <n v="2"/>
    <n v="4"/>
    <n v="0"/>
    <n v="0"/>
    <n v="9.3000000000000007"/>
    <n v="1"/>
    <n v="0"/>
    <n v="0.2"/>
    <n v="2.1"/>
    <n v="1.33"/>
    <n v="0.03"/>
    <n v="1.36"/>
    <n v="5.52"/>
    <n v="4"/>
    <s v="No News"/>
    <n v="126"/>
    <n v="31"/>
    <n v="276"/>
    <n v="32"/>
    <n v="368"/>
    <n v="40"/>
    <n v="295"/>
    <n v="47"/>
  </r>
  <r>
    <s v="Habib Diarra"/>
    <x v="8"/>
    <x v="2"/>
    <n v="5.3"/>
    <n v="12"/>
    <n v="3"/>
    <n v="0"/>
    <n v="0"/>
    <n v="1"/>
    <n v="345"/>
    <n v="2"/>
    <n v="2"/>
    <n v="0"/>
    <n v="0"/>
    <n v="8"/>
    <n v="0"/>
    <n v="0"/>
    <n v="0"/>
    <n v="2.2999999999999998"/>
    <n v="0.5"/>
    <n v="0.08"/>
    <n v="0.57999999999999996"/>
    <n v="3.87"/>
    <n v="4"/>
    <s v="Groin Injury - Expected back 03 Dec"/>
    <n v="207"/>
    <n v="130"/>
    <n v="707"/>
    <n v="304"/>
    <n v="167"/>
    <n v="74"/>
    <n v="590"/>
    <n v="228"/>
  </r>
  <r>
    <s v="Nicolò Savona"/>
    <x v="18"/>
    <x v="1"/>
    <n v="4.5"/>
    <n v="12"/>
    <n v="2"/>
    <n v="0"/>
    <n v="1"/>
    <n v="0"/>
    <n v="429"/>
    <n v="0"/>
    <n v="10"/>
    <n v="0"/>
    <n v="0"/>
    <n v="19.2"/>
    <n v="2.8"/>
    <n v="0"/>
    <n v="0.6"/>
    <n v="2.7"/>
    <n v="0.78"/>
    <n v="0.14000000000000001"/>
    <n v="0.92"/>
    <n v="6.83"/>
    <n v="4"/>
    <s v="No News"/>
    <n v="441"/>
    <n v="94"/>
    <n v="138"/>
    <n v="51"/>
    <n v="272"/>
    <n v="98"/>
    <n v="609"/>
    <n v="213"/>
  </r>
  <r>
    <s v="Rayan Aït-Nouri"/>
    <x v="0"/>
    <x v="1"/>
    <n v="5.8"/>
    <n v="11"/>
    <n v="2.8"/>
    <n v="4.7"/>
    <n v="0"/>
    <n v="0"/>
    <n v="203"/>
    <n v="1"/>
    <n v="2"/>
    <n v="0"/>
    <n v="1"/>
    <n v="7.8"/>
    <n v="0.2"/>
    <n v="0"/>
    <n v="0"/>
    <n v="1.9"/>
    <n v="0.04"/>
    <n v="0.48"/>
    <n v="0.52"/>
    <n v="2.96"/>
    <n v="3"/>
    <s v="No News"/>
    <n v="112"/>
    <n v="8"/>
    <n v="378"/>
    <n v="132"/>
    <n v="185"/>
    <n v="68"/>
    <n v="74"/>
    <n v="25"/>
  </r>
  <r>
    <s v="Daniel James"/>
    <x v="17"/>
    <x v="2"/>
    <n v="5.3"/>
    <n v="11"/>
    <n v="1.4"/>
    <n v="0.1"/>
    <n v="0"/>
    <n v="0"/>
    <n v="284"/>
    <n v="1"/>
    <n v="9"/>
    <n v="0"/>
    <n v="0"/>
    <n v="15.7"/>
    <n v="1"/>
    <n v="0"/>
    <n v="0.2"/>
    <n v="2.1"/>
    <n v="0.49"/>
    <n v="0.53"/>
    <n v="1.02"/>
    <n v="5.54"/>
    <n v="3"/>
    <s v="No News"/>
    <n v="196"/>
    <n v="122"/>
    <n v="273"/>
    <n v="132"/>
    <n v="344"/>
    <n v="163"/>
    <n v="424"/>
    <n v="144"/>
  </r>
  <r>
    <s v="James Ward-Prowse"/>
    <x v="16"/>
    <x v="2"/>
    <n v="5.7"/>
    <n v="11"/>
    <n v="2.2000000000000002"/>
    <n v="0.2"/>
    <n v="0"/>
    <n v="0"/>
    <n v="414"/>
    <n v="1"/>
    <n v="11"/>
    <n v="0"/>
    <n v="0"/>
    <n v="23.9"/>
    <n v="0"/>
    <n v="0"/>
    <n v="0"/>
    <n v="1.9"/>
    <n v="0.13"/>
    <n v="0.91"/>
    <n v="1.04"/>
    <n v="7.27"/>
    <n v="5"/>
    <s v="No News"/>
    <n v="118"/>
    <n v="77"/>
    <n v="729"/>
    <n v="320"/>
    <n v="250"/>
    <n v="115"/>
    <n v="371"/>
    <n v="127"/>
  </r>
  <r>
    <s v="Ryan Yates"/>
    <x v="18"/>
    <x v="2"/>
    <n v="4.7"/>
    <n v="11"/>
    <n v="1.6"/>
    <n v="0.1"/>
    <n v="0"/>
    <n v="1"/>
    <n v="240"/>
    <n v="0"/>
    <n v="4"/>
    <n v="0"/>
    <n v="0"/>
    <n v="9.9"/>
    <n v="1.8"/>
    <n v="0"/>
    <n v="0.4"/>
    <n v="2.2999999999999998"/>
    <n v="7.0000000000000007E-2"/>
    <n v="0.17"/>
    <n v="0.24"/>
    <n v="2.84"/>
    <n v="1"/>
    <s v="No News"/>
    <n v="379"/>
    <n v="238"/>
    <n v="205"/>
    <n v="101"/>
    <n v="320"/>
    <n v="148"/>
    <n v="477"/>
    <n v="163"/>
  </r>
  <r>
    <s v="Jack Harrison"/>
    <x v="17"/>
    <x v="2"/>
    <n v="5.2"/>
    <n v="11"/>
    <n v="1.1000000000000001"/>
    <n v="0.1"/>
    <n v="0"/>
    <n v="0"/>
    <n v="261"/>
    <n v="0"/>
    <n v="5"/>
    <n v="0"/>
    <n v="0"/>
    <n v="11.5"/>
    <n v="1.2"/>
    <n v="0"/>
    <n v="0.2"/>
    <n v="2.1"/>
    <n v="0.28000000000000003"/>
    <n v="0.23"/>
    <n v="0.51"/>
    <n v="3.73"/>
    <n v="1"/>
    <s v="No News"/>
    <n v="217"/>
    <n v="135"/>
    <n v="255"/>
    <n v="122"/>
    <n v="367"/>
    <n v="175"/>
    <n v="542"/>
    <n v="198"/>
  </r>
  <r>
    <s v="Abdukodir Khusanov"/>
    <x v="0"/>
    <x v="1"/>
    <n v="5.4"/>
    <n v="11"/>
    <n v="2.8"/>
    <n v="0.3"/>
    <n v="0"/>
    <n v="0"/>
    <n v="227"/>
    <n v="1"/>
    <n v="1"/>
    <n v="0"/>
    <n v="0"/>
    <n v="4.8"/>
    <n v="0"/>
    <n v="0"/>
    <n v="0"/>
    <n v="2"/>
    <n v="0"/>
    <n v="0.02"/>
    <n v="0.02"/>
    <n v="3.13"/>
    <n v="3"/>
    <s v="No News"/>
    <n v="189"/>
    <n v="24"/>
    <n v="722"/>
    <n v="247"/>
    <n v="182"/>
    <n v="67"/>
    <n v="321"/>
    <n v="113"/>
  </r>
  <r>
    <s v="Altay Bayindir"/>
    <x v="6"/>
    <x v="3"/>
    <n v="4.8"/>
    <n v="11"/>
    <n v="1.8"/>
    <n v="0.3"/>
    <n v="0"/>
    <n v="0"/>
    <n v="540"/>
    <n v="0"/>
    <n v="11"/>
    <n v="13"/>
    <n v="0"/>
    <n v="12.8"/>
    <n v="0"/>
    <n v="0"/>
    <n v="0"/>
    <n v="2.2999999999999998"/>
    <n v="0"/>
    <n v="0.05"/>
    <n v="0.05"/>
    <n v="9.24"/>
    <n v="6"/>
    <s v="No News"/>
    <n v="366"/>
    <n v="17"/>
    <n v="653"/>
    <n v="83"/>
    <n v="296"/>
    <n v="26"/>
    <n v="287"/>
    <n v="38"/>
  </r>
  <r>
    <s v="John Stones"/>
    <x v="0"/>
    <x v="1"/>
    <n v="5.4"/>
    <n v="11"/>
    <n v="2.2000000000000002"/>
    <n v="0.7"/>
    <n v="0"/>
    <n v="0"/>
    <n v="324"/>
    <n v="1"/>
    <n v="6"/>
    <n v="0"/>
    <n v="0"/>
    <n v="9.1"/>
    <n v="0.5"/>
    <n v="0"/>
    <n v="0.1"/>
    <n v="2"/>
    <n v="0"/>
    <n v="0.06"/>
    <n v="0.06"/>
    <n v="4.58"/>
    <n v="4"/>
    <s v="No News"/>
    <n v="156"/>
    <n v="17"/>
    <n v="329"/>
    <n v="109"/>
    <n v="246"/>
    <n v="88"/>
    <n v="204"/>
    <n v="77"/>
  </r>
  <r>
    <s v="Emmanuel Agbadou"/>
    <x v="19"/>
    <x v="1"/>
    <n v="4.3"/>
    <n v="11"/>
    <n v="1.4"/>
    <n v="0.2"/>
    <n v="0"/>
    <n v="0"/>
    <n v="560"/>
    <n v="0"/>
    <n v="17"/>
    <n v="0"/>
    <n v="0"/>
    <n v="24.2"/>
    <n v="-0.8"/>
    <n v="0"/>
    <n v="-0.2"/>
    <n v="2.6"/>
    <n v="0.38"/>
    <n v="0.26"/>
    <n v="0.64"/>
    <n v="8.66"/>
    <n v="6"/>
    <s v="No News"/>
    <n v="600"/>
    <n v="152"/>
    <n v="752"/>
    <n v="249"/>
    <n v="336"/>
    <n v="119"/>
    <n v="386"/>
    <n v="139"/>
  </r>
  <r>
    <s v="Adama Adama"/>
    <x v="15"/>
    <x v="2"/>
    <n v="5.2"/>
    <n v="11"/>
    <n v="1.2"/>
    <n v="0.2"/>
    <n v="0"/>
    <n v="0"/>
    <n v="242"/>
    <n v="0"/>
    <n v="6"/>
    <n v="0"/>
    <n v="0"/>
    <n v="12.9"/>
    <n v="1.2"/>
    <n v="0"/>
    <n v="0.2"/>
    <n v="2.1"/>
    <n v="0.19"/>
    <n v="0.55000000000000004"/>
    <n v="0.74"/>
    <n v="4.54"/>
    <n v="1"/>
    <s v="No News"/>
    <n v="215"/>
    <n v="134"/>
    <n v="254"/>
    <n v="121"/>
    <n v="362"/>
    <n v="170"/>
    <n v="398"/>
    <n v="133"/>
  </r>
  <r>
    <s v="Jaydee Canvot"/>
    <x v="3"/>
    <x v="1"/>
    <n v="4.5"/>
    <n v="11"/>
    <n v="5.5"/>
    <n v="0"/>
    <n v="0"/>
    <n v="0"/>
    <n v="91"/>
    <n v="1"/>
    <n v="0"/>
    <n v="0"/>
    <n v="2"/>
    <n v="4"/>
    <n v="2.8"/>
    <n v="0"/>
    <n v="0.6"/>
    <n v="2.4"/>
    <n v="0.05"/>
    <n v="7.0000000000000007E-2"/>
    <n v="0.12"/>
    <n v="0.38"/>
    <n v="1"/>
    <s v="No News"/>
    <n v="490"/>
    <n v="101"/>
    <n v="139"/>
    <n v="52"/>
    <n v="13"/>
    <n v="8"/>
    <n v="681"/>
    <n v="232"/>
  </r>
  <r>
    <s v="James Trafford"/>
    <x v="0"/>
    <x v="3"/>
    <n v="4.7"/>
    <n v="11"/>
    <n v="3.7"/>
    <n v="1.1000000000000001"/>
    <n v="0"/>
    <n v="0"/>
    <n v="270"/>
    <n v="1"/>
    <n v="4"/>
    <n v="11"/>
    <n v="0"/>
    <n v="10.1"/>
    <n v="0"/>
    <n v="0"/>
    <n v="0"/>
    <n v="2.2999999999999998"/>
    <n v="0"/>
    <n v="0"/>
    <n v="0"/>
    <n v="3.97"/>
    <n v="3"/>
    <s v="No News"/>
    <n v="381"/>
    <n v="18"/>
    <n v="643"/>
    <n v="80"/>
    <n v="99"/>
    <n v="10"/>
    <n v="168"/>
    <n v="24"/>
  </r>
  <r>
    <s v="Cole Palmer"/>
    <x v="5"/>
    <x v="2"/>
    <n v="10.3"/>
    <n v="11"/>
    <n v="3.7"/>
    <n v="9"/>
    <n v="1"/>
    <n v="0"/>
    <n v="144"/>
    <n v="1"/>
    <n v="2"/>
    <n v="0"/>
    <n v="1"/>
    <n v="12.9"/>
    <n v="0"/>
    <n v="0"/>
    <n v="0"/>
    <n v="1.1000000000000001"/>
    <n v="0.8"/>
    <n v="0.12"/>
    <n v="0.92"/>
    <n v="2.54"/>
    <n v="2"/>
    <s v="Groin Injury - Expected back 22 Nov"/>
    <n v="4"/>
    <n v="2"/>
    <n v="750"/>
    <n v="334"/>
    <n v="108"/>
    <n v="45"/>
    <n v="44"/>
    <n v="16"/>
  </r>
  <r>
    <s v="Andrew Robertson"/>
    <x v="10"/>
    <x v="1"/>
    <n v="5.8"/>
    <n v="11"/>
    <n v="1.8"/>
    <n v="1"/>
    <n v="0"/>
    <n v="0"/>
    <n v="291"/>
    <n v="1"/>
    <n v="5"/>
    <n v="0"/>
    <n v="2"/>
    <n v="21.9"/>
    <n v="2.2000000000000002"/>
    <n v="1"/>
    <n v="0.4"/>
    <n v="1.9"/>
    <n v="0.21"/>
    <n v="0.54"/>
    <n v="0.74"/>
    <n v="3.88"/>
    <n v="2"/>
    <s v="No News"/>
    <n v="106"/>
    <n v="6"/>
    <n v="178"/>
    <n v="61"/>
    <n v="303"/>
    <n v="107"/>
    <n v="184"/>
    <n v="68"/>
  </r>
  <r>
    <s v="Stefanos Tzimas"/>
    <x v="14"/>
    <x v="0"/>
    <n v="5.3"/>
    <n v="10"/>
    <n v="1.4"/>
    <n v="0.1"/>
    <n v="0"/>
    <n v="1"/>
    <n v="84"/>
    <n v="0"/>
    <n v="2"/>
    <n v="0"/>
    <n v="0"/>
    <n v="11.5"/>
    <n v="1"/>
    <n v="0"/>
    <n v="0.2"/>
    <n v="1.9"/>
    <n v="0.35"/>
    <n v="0.11"/>
    <n v="0.46"/>
    <n v="2.2400000000000002"/>
    <n v="0"/>
    <s v="No News"/>
    <n v="210"/>
    <n v="45"/>
    <n v="274"/>
    <n v="31"/>
    <n v="345"/>
    <n v="35"/>
    <n v="452"/>
    <n v="63"/>
  </r>
  <r>
    <s v="Nathan Aké"/>
    <x v="0"/>
    <x v="1"/>
    <n v="5.3"/>
    <n v="10"/>
    <n v="2"/>
    <n v="0.6"/>
    <n v="0"/>
    <n v="0"/>
    <n v="201"/>
    <n v="1"/>
    <n v="3"/>
    <n v="0"/>
    <n v="0"/>
    <n v="7.6"/>
    <n v="1.5"/>
    <n v="0"/>
    <n v="0.3"/>
    <n v="1.9"/>
    <n v="0.28000000000000003"/>
    <n v="0.17"/>
    <n v="0.45"/>
    <n v="2.16"/>
    <n v="1"/>
    <s v="No News"/>
    <n v="191"/>
    <n v="25"/>
    <n v="228"/>
    <n v="75"/>
    <n v="280"/>
    <n v="101"/>
    <n v="219"/>
    <n v="80"/>
  </r>
  <r>
    <s v="Freddie Potts"/>
    <x v="16"/>
    <x v="2"/>
    <n v="4.4000000000000004"/>
    <n v="10"/>
    <n v="1.7"/>
    <n v="0.6"/>
    <n v="0"/>
    <n v="0"/>
    <n v="282"/>
    <n v="0"/>
    <n v="5"/>
    <n v="0"/>
    <n v="0"/>
    <n v="14"/>
    <n v="1.8"/>
    <n v="0"/>
    <n v="0.4"/>
    <n v="2.2999999999999998"/>
    <n v="0"/>
    <n v="0.13"/>
    <n v="0.13"/>
    <n v="3.06"/>
    <n v="2"/>
    <s v="No News"/>
    <n v="528"/>
    <n v="304"/>
    <n v="200"/>
    <n v="98"/>
    <n v="308"/>
    <n v="142"/>
    <n v="212"/>
    <n v="72"/>
  </r>
  <r>
    <s v="Vitaly Janelt"/>
    <x v="4"/>
    <x v="2"/>
    <n v="4.9000000000000004"/>
    <n v="10"/>
    <n v="1.4"/>
    <n v="0"/>
    <n v="0"/>
    <n v="0"/>
    <n v="145"/>
    <n v="0"/>
    <n v="2"/>
    <n v="0"/>
    <n v="0"/>
    <n v="7.6"/>
    <n v="1.8"/>
    <n v="0"/>
    <n v="0.4"/>
    <n v="2"/>
    <n v="0.22"/>
    <n v="0.23"/>
    <n v="0.45"/>
    <n v="1.94"/>
    <n v="0"/>
    <s v="No News"/>
    <n v="302"/>
    <n v="190"/>
    <n v="206"/>
    <n v="102"/>
    <n v="341"/>
    <n v="160"/>
    <n v="676"/>
    <n v="287"/>
  </r>
  <r>
    <s v="Niclas Füllkrug"/>
    <x v="16"/>
    <x v="0"/>
    <n v="5.6"/>
    <n v="10"/>
    <n v="1.7"/>
    <n v="0.7"/>
    <n v="0"/>
    <n v="0"/>
    <n v="379"/>
    <n v="1"/>
    <n v="9"/>
    <n v="0"/>
    <n v="0"/>
    <n v="21.9"/>
    <n v="0"/>
    <n v="0"/>
    <n v="0"/>
    <n v="1.8"/>
    <n v="0.86"/>
    <n v="0.18"/>
    <n v="1.04"/>
    <n v="5.93"/>
    <n v="5"/>
    <s v="Muscle injury - Expected back 22 Nov"/>
    <n v="127"/>
    <n v="32"/>
    <n v="728"/>
    <n v="76"/>
    <n v="314"/>
    <n v="31"/>
    <n v="207"/>
    <n v="31"/>
  </r>
  <r>
    <s v="Noni Madueke"/>
    <x v="1"/>
    <x v="2"/>
    <n v="6.8"/>
    <n v="10"/>
    <n v="2"/>
    <n v="0.6"/>
    <n v="0"/>
    <n v="0"/>
    <n v="304"/>
    <n v="2"/>
    <n v="2"/>
    <n v="0"/>
    <n v="0"/>
    <n v="24.6"/>
    <n v="0"/>
    <n v="0"/>
    <n v="0"/>
    <n v="1.5"/>
    <n v="0.28999999999999998"/>
    <n v="0.86"/>
    <n v="1.1499999999999999"/>
    <n v="2.04"/>
    <n v="4"/>
    <s v="Knee injury - Expected back 23 Nov"/>
    <n v="44"/>
    <n v="28"/>
    <n v="741"/>
    <n v="328"/>
    <n v="284"/>
    <n v="129"/>
    <n v="225"/>
    <n v="77"/>
  </r>
  <r>
    <s v="Timothy Castagne"/>
    <x v="15"/>
    <x v="1"/>
    <n v="4.4000000000000004"/>
    <n v="10"/>
    <n v="1.4"/>
    <n v="0.1"/>
    <n v="0"/>
    <n v="0"/>
    <n v="397"/>
    <n v="0"/>
    <n v="10"/>
    <n v="0"/>
    <n v="0"/>
    <n v="15.8"/>
    <n v="0.8"/>
    <n v="0"/>
    <n v="0.2"/>
    <n v="2.2999999999999998"/>
    <n v="0.42"/>
    <n v="0.12"/>
    <n v="0.54"/>
    <n v="8.23"/>
    <n v="5"/>
    <s v="No News"/>
    <n v="498"/>
    <n v="109"/>
    <n v="286"/>
    <n v="96"/>
    <n v="337"/>
    <n v="120"/>
    <n v="455"/>
    <n v="167"/>
  </r>
  <r>
    <s v="Kevin Kevin"/>
    <x v="15"/>
    <x v="2"/>
    <n v="5.9"/>
    <n v="10"/>
    <n v="1.2"/>
    <n v="0.1"/>
    <n v="0"/>
    <n v="0"/>
    <n v="314"/>
    <n v="1"/>
    <n v="6"/>
    <n v="0"/>
    <n v="0"/>
    <n v="17.5"/>
    <n v="1.8"/>
    <n v="0"/>
    <n v="0.3"/>
    <n v="1.7"/>
    <n v="0.08"/>
    <n v="0.22"/>
    <n v="0.3"/>
    <n v="4.1399999999999997"/>
    <n v="2"/>
    <s v="No News"/>
    <n v="103"/>
    <n v="70"/>
    <n v="217"/>
    <n v="108"/>
    <n v="363"/>
    <n v="171"/>
    <n v="541"/>
    <n v="197"/>
  </r>
  <r>
    <s v="Ross Barkley"/>
    <x v="12"/>
    <x v="2"/>
    <n v="4.8"/>
    <n v="10"/>
    <n v="2"/>
    <n v="0"/>
    <n v="1"/>
    <n v="0"/>
    <n v="80"/>
    <n v="0"/>
    <n v="0"/>
    <n v="0"/>
    <n v="0"/>
    <n v="13.4"/>
    <n v="2.2000000000000002"/>
    <n v="0"/>
    <n v="0.5"/>
    <n v="2.1"/>
    <n v="0.43"/>
    <n v="0.15"/>
    <n v="0.57999999999999996"/>
    <n v="1.01"/>
    <n v="0"/>
    <s v="No News"/>
    <n v="351"/>
    <n v="222"/>
    <n v="166"/>
    <n v="73"/>
    <n v="274"/>
    <n v="123"/>
    <n v="586"/>
    <n v="224"/>
  </r>
  <r>
    <s v="Alexander Isak"/>
    <x v="10"/>
    <x v="0"/>
    <n v="10.4"/>
    <n v="10"/>
    <n v="2.5"/>
    <n v="4.5999999999999996"/>
    <n v="0"/>
    <n v="1"/>
    <n v="250"/>
    <n v="0"/>
    <n v="3"/>
    <n v="0"/>
    <n v="0"/>
    <n v="8.6999999999999993"/>
    <n v="0.5"/>
    <n v="0"/>
    <n v="0"/>
    <n v="1"/>
    <n v="0.94"/>
    <n v="0.03"/>
    <n v="0.97"/>
    <n v="3.32"/>
    <n v="3"/>
    <s v="Lack of match fitness - 75% chance of playing"/>
    <n v="3"/>
    <n v="2"/>
    <n v="339"/>
    <n v="41"/>
    <n v="216"/>
    <n v="22"/>
    <n v="78"/>
    <n v="16"/>
  </r>
  <r>
    <s v="Lutsharel Geertruida"/>
    <x v="8"/>
    <x v="1"/>
    <n v="4.5"/>
    <n v="10"/>
    <n v="1.2"/>
    <n v="0"/>
    <n v="0"/>
    <n v="0"/>
    <n v="337"/>
    <n v="0"/>
    <n v="4"/>
    <n v="0"/>
    <n v="0"/>
    <n v="11.5"/>
    <n v="1.5"/>
    <n v="0"/>
    <n v="0.3"/>
    <n v="2.2000000000000002"/>
    <n v="0.33"/>
    <n v="0.3"/>
    <n v="0.63"/>
    <n v="5.87"/>
    <n v="3"/>
    <s v="No News"/>
    <n v="416"/>
    <n v="85"/>
    <n v="225"/>
    <n v="74"/>
    <n v="360"/>
    <n v="126"/>
    <n v="637"/>
    <n v="221"/>
  </r>
  <r>
    <s v="Karl Darlow"/>
    <x v="17"/>
    <x v="3"/>
    <n v="4"/>
    <n v="10"/>
    <n v="2"/>
    <n v="2.2999999999999998"/>
    <n v="0"/>
    <n v="0"/>
    <n v="450"/>
    <n v="0"/>
    <n v="8"/>
    <n v="13"/>
    <n v="0"/>
    <n v="10.5"/>
    <n v="0.2"/>
    <n v="0"/>
    <n v="0"/>
    <n v="2.5"/>
    <n v="0"/>
    <n v="0.01"/>
    <n v="0.01"/>
    <n v="4.43"/>
    <n v="5"/>
    <s v="No News"/>
    <n v="617"/>
    <n v="40"/>
    <n v="341"/>
    <n v="21"/>
    <n v="269"/>
    <n v="25"/>
    <n v="118"/>
    <n v="15"/>
  </r>
  <r>
    <s v="Noussair Mazraoui"/>
    <x v="6"/>
    <x v="1"/>
    <n v="4.9000000000000004"/>
    <n v="10"/>
    <n v="2"/>
    <n v="0.2"/>
    <n v="0"/>
    <n v="0"/>
    <n v="200"/>
    <n v="1"/>
    <n v="2"/>
    <n v="0"/>
    <n v="1"/>
    <n v="6.6"/>
    <n v="0.2"/>
    <n v="0"/>
    <n v="0"/>
    <n v="2"/>
    <n v="0"/>
    <n v="0.15"/>
    <n v="0.15"/>
    <n v="2.35"/>
    <n v="3"/>
    <s v="No News"/>
    <n v="312"/>
    <n v="50"/>
    <n v="367"/>
    <n v="130"/>
    <n v="277"/>
    <n v="100"/>
    <n v="379"/>
    <n v="136"/>
  </r>
  <r>
    <s v="Lewis Hall"/>
    <x v="13"/>
    <x v="1"/>
    <n v="5.2"/>
    <n v="9"/>
    <n v="2.2000000000000002"/>
    <n v="0.7"/>
    <n v="0"/>
    <n v="0"/>
    <n v="146"/>
    <n v="1"/>
    <n v="3"/>
    <n v="0"/>
    <n v="1"/>
    <n v="5.0999999999999996"/>
    <n v="0"/>
    <n v="0"/>
    <n v="0"/>
    <n v="1.7"/>
    <n v="0.04"/>
    <n v="0.11"/>
    <n v="0.15"/>
    <n v="2.82"/>
    <n v="1"/>
    <s v="No News"/>
    <n v="223"/>
    <n v="32"/>
    <n v="700"/>
    <n v="242"/>
    <n v="243"/>
    <n v="87"/>
    <n v="197"/>
    <n v="75"/>
  </r>
  <r>
    <s v="Adam Smith"/>
    <x v="2"/>
    <x v="1"/>
    <n v="4.4000000000000004"/>
    <n v="9"/>
    <n v="2.2000000000000002"/>
    <n v="0.2"/>
    <n v="0"/>
    <n v="0"/>
    <n v="213"/>
    <n v="1"/>
    <n v="3"/>
    <n v="0"/>
    <n v="0"/>
    <n v="3.6"/>
    <n v="0.2"/>
    <n v="0"/>
    <n v="0"/>
    <n v="2"/>
    <n v="0"/>
    <n v="0.09"/>
    <n v="0.09"/>
    <n v="2.57"/>
    <n v="4"/>
    <s v="No News"/>
    <n v="491"/>
    <n v="102"/>
    <n v="350"/>
    <n v="120"/>
    <n v="234"/>
    <n v="84"/>
    <n v="394"/>
    <n v="145"/>
  </r>
  <r>
    <s v="Justin Devenny"/>
    <x v="3"/>
    <x v="2"/>
    <n v="4.3"/>
    <n v="9"/>
    <n v="1.1000000000000001"/>
    <n v="1.1000000000000001"/>
    <n v="0"/>
    <n v="0"/>
    <n v="157"/>
    <n v="0"/>
    <n v="3"/>
    <n v="0"/>
    <n v="0"/>
    <n v="12.1"/>
    <n v="0.2"/>
    <n v="0"/>
    <n v="0"/>
    <n v="2.1"/>
    <n v="0.43"/>
    <n v="0.18"/>
    <n v="0.61"/>
    <n v="2.25"/>
    <n v="1"/>
    <s v="No News"/>
    <n v="594"/>
    <n v="330"/>
    <n v="347"/>
    <n v="167"/>
    <n v="365"/>
    <n v="173"/>
    <n v="169"/>
    <n v="59"/>
  </r>
  <r>
    <s v="Jamie Gittens"/>
    <x v="5"/>
    <x v="2"/>
    <n v="6.1"/>
    <n v="9"/>
    <n v="1"/>
    <n v="0.1"/>
    <n v="0"/>
    <n v="0"/>
    <n v="248"/>
    <n v="0"/>
    <n v="2"/>
    <n v="0"/>
    <n v="0"/>
    <n v="16.2"/>
    <n v="1"/>
    <n v="0"/>
    <n v="0.2"/>
    <n v="1.5"/>
    <n v="0.64"/>
    <n v="0.21"/>
    <n v="0.85"/>
    <n v="4.7699999999999996"/>
    <n v="2"/>
    <s v="No News"/>
    <n v="85"/>
    <n v="56"/>
    <n v="280"/>
    <n v="137"/>
    <n v="429"/>
    <n v="206"/>
    <n v="423"/>
    <n v="143"/>
  </r>
  <r>
    <s v="Rio Ngumoha"/>
    <x v="10"/>
    <x v="2"/>
    <n v="4.5"/>
    <n v="9"/>
    <n v="2.2000000000000002"/>
    <n v="0.5"/>
    <n v="1"/>
    <n v="0"/>
    <n v="30"/>
    <n v="0"/>
    <n v="1"/>
    <n v="0"/>
    <n v="0"/>
    <n v="8.8000000000000007"/>
    <n v="0.2"/>
    <n v="0"/>
    <n v="0"/>
    <n v="2"/>
    <n v="0.37"/>
    <n v="0.11"/>
    <n v="0.48"/>
    <n v="0.77"/>
    <n v="0"/>
    <s v="No News"/>
    <n v="482"/>
    <n v="293"/>
    <n v="360"/>
    <n v="170"/>
    <n v="238"/>
    <n v="106"/>
    <n v="234"/>
    <n v="83"/>
  </r>
  <r>
    <s v="Tolu Tolu"/>
    <x v="19"/>
    <x v="0"/>
    <n v="5.5"/>
    <n v="9"/>
    <n v="1.3"/>
    <n v="0.1"/>
    <n v="0"/>
    <n v="0"/>
    <n v="208"/>
    <n v="0"/>
    <n v="8"/>
    <n v="0"/>
    <n v="0"/>
    <n v="9.8000000000000007"/>
    <n v="0.8"/>
    <n v="0"/>
    <n v="0.1"/>
    <n v="1.6"/>
    <n v="0.41"/>
    <n v="0.03"/>
    <n v="0.44"/>
    <n v="3"/>
    <n v="2"/>
    <s v="No News"/>
    <n v="150"/>
    <n v="37"/>
    <n v="301"/>
    <n v="33"/>
    <n v="356"/>
    <n v="37"/>
    <n v="558"/>
    <n v="74"/>
  </r>
  <r>
    <s v="Mads Hermansen"/>
    <x v="16"/>
    <x v="3"/>
    <n v="4.4000000000000004"/>
    <n v="9"/>
    <n v="2.2000000000000002"/>
    <n v="0.2"/>
    <n v="0"/>
    <n v="0"/>
    <n v="360"/>
    <n v="1"/>
    <n v="11"/>
    <n v="9"/>
    <n v="0"/>
    <n v="8.5"/>
    <n v="0"/>
    <n v="0"/>
    <n v="0"/>
    <n v="2"/>
    <n v="0"/>
    <n v="0.01"/>
    <n v="0.01"/>
    <n v="5.44"/>
    <n v="4"/>
    <s v="No News"/>
    <n v="523"/>
    <n v="27"/>
    <n v="544"/>
    <n v="75"/>
    <n v="236"/>
    <n v="21"/>
    <n v="343"/>
    <n v="50"/>
  </r>
  <r>
    <s v="Amine Adli"/>
    <x v="2"/>
    <x v="2"/>
    <n v="5.4"/>
    <n v="8"/>
    <n v="1"/>
    <n v="0"/>
    <n v="0"/>
    <n v="0"/>
    <n v="210"/>
    <n v="0"/>
    <n v="5"/>
    <n v="0"/>
    <n v="0"/>
    <n v="13.8"/>
    <n v="0.8"/>
    <n v="0"/>
    <n v="0.1"/>
    <n v="1.5"/>
    <n v="0.1"/>
    <n v="0.1"/>
    <n v="0.2"/>
    <n v="4.6500000000000004"/>
    <n v="1"/>
    <s v="No News"/>
    <n v="179"/>
    <n v="111"/>
    <n v="298"/>
    <n v="147"/>
    <n v="421"/>
    <n v="201"/>
    <n v="613"/>
    <n v="244"/>
  </r>
  <r>
    <s v="Andy Irving"/>
    <x v="16"/>
    <x v="2"/>
    <n v="4.4000000000000004"/>
    <n v="8"/>
    <n v="1.3"/>
    <n v="0.3"/>
    <n v="0"/>
    <n v="0"/>
    <n v="149"/>
    <n v="0"/>
    <n v="4"/>
    <n v="0"/>
    <n v="0"/>
    <n v="7"/>
    <n v="1"/>
    <n v="0"/>
    <n v="0.2"/>
    <n v="1.8"/>
    <n v="0"/>
    <n v="0.09"/>
    <n v="0.09"/>
    <n v="3.65"/>
    <n v="2"/>
    <s v="No News"/>
    <n v="507"/>
    <n v="298"/>
    <n v="263"/>
    <n v="127"/>
    <n v="351"/>
    <n v="166"/>
    <n v="292"/>
    <n v="102"/>
  </r>
  <r>
    <s v="Aaron Hickey"/>
    <x v="4"/>
    <x v="1"/>
    <n v="4"/>
    <n v="8"/>
    <n v="1.3"/>
    <n v="0.3"/>
    <n v="0"/>
    <n v="0"/>
    <n v="253"/>
    <n v="0"/>
    <n v="4"/>
    <n v="0"/>
    <n v="0"/>
    <n v="6"/>
    <n v="0.5"/>
    <n v="0"/>
    <n v="0.1"/>
    <n v="2"/>
    <n v="0.14000000000000001"/>
    <n v="0.12"/>
    <n v="0.26"/>
    <n v="2.63"/>
    <n v="3"/>
    <s v="No News"/>
    <n v="655"/>
    <n v="177"/>
    <n v="306"/>
    <n v="100"/>
    <n v="349"/>
    <n v="122"/>
    <n v="299"/>
    <n v="107"/>
  </r>
  <r>
    <s v="Chris Rigg"/>
    <x v="8"/>
    <x v="2"/>
    <n v="4.8"/>
    <n v="8"/>
    <n v="1.3"/>
    <n v="0"/>
    <n v="0"/>
    <n v="0"/>
    <n v="186"/>
    <n v="1"/>
    <n v="0"/>
    <n v="0"/>
    <n v="0"/>
    <n v="4.3"/>
    <n v="1"/>
    <n v="0"/>
    <n v="0.2"/>
    <n v="1.7"/>
    <n v="0.12"/>
    <n v="0.06"/>
    <n v="0.18"/>
    <n v="1.29"/>
    <n v="3"/>
    <s v="No News"/>
    <n v="374"/>
    <n v="235"/>
    <n v="268"/>
    <n v="128"/>
    <n v="353"/>
    <n v="167"/>
    <n v="571"/>
    <n v="213"/>
  </r>
  <r>
    <s v="David Møller Wolfe"/>
    <x v="19"/>
    <x v="1"/>
    <n v="4.4000000000000004"/>
    <n v="8"/>
    <n v="1.6"/>
    <n v="0.1"/>
    <n v="0"/>
    <n v="1"/>
    <n v="149"/>
    <n v="0"/>
    <n v="6"/>
    <n v="0"/>
    <n v="0"/>
    <n v="6.3"/>
    <n v="0.2"/>
    <n v="0"/>
    <n v="0"/>
    <n v="1.8"/>
    <n v="0"/>
    <n v="0.15"/>
    <n v="0.15"/>
    <n v="3.62"/>
    <n v="2"/>
    <s v="No News"/>
    <n v="533"/>
    <n v="129"/>
    <n v="355"/>
    <n v="125"/>
    <n v="319"/>
    <n v="115"/>
    <n v="536"/>
    <n v="192"/>
  </r>
  <r>
    <s v="Álex A.Jimenez"/>
    <x v="2"/>
    <x v="1"/>
    <n v="4.5"/>
    <n v="8"/>
    <n v="1"/>
    <n v="0"/>
    <n v="0"/>
    <n v="0"/>
    <n v="409"/>
    <n v="1"/>
    <n v="10"/>
    <n v="0"/>
    <n v="0"/>
    <n v="12.1"/>
    <n v="1.8"/>
    <n v="0"/>
    <n v="0.4"/>
    <n v="1.8"/>
    <n v="0.08"/>
    <n v="0.12"/>
    <n v="0.2"/>
    <n v="8.0399999999999991"/>
    <n v="5"/>
    <s v="No News"/>
    <n v="453"/>
    <n v="96"/>
    <n v="203"/>
    <n v="66"/>
    <n v="384"/>
    <n v="139"/>
    <n v="634"/>
    <n v="219"/>
  </r>
  <r>
    <s v="Tom Cairney"/>
    <x v="15"/>
    <x v="2"/>
    <n v="4.9000000000000004"/>
    <n v="8"/>
    <n v="1.1000000000000001"/>
    <n v="0"/>
    <n v="0"/>
    <n v="0"/>
    <n v="196"/>
    <n v="0"/>
    <n v="5"/>
    <n v="0"/>
    <n v="0"/>
    <n v="7.3"/>
    <n v="1"/>
    <n v="0"/>
    <n v="0.2"/>
    <n v="1.6"/>
    <n v="0.44"/>
    <n v="0.09"/>
    <n v="0.53"/>
    <n v="3.27"/>
    <n v="1"/>
    <s v="No News"/>
    <n v="289"/>
    <n v="181"/>
    <n v="269"/>
    <n v="129"/>
    <n v="366"/>
    <n v="174"/>
    <n v="631"/>
    <n v="257"/>
  </r>
  <r>
    <s v="Eddie Nketiah"/>
    <x v="3"/>
    <x v="0"/>
    <n v="5.4"/>
    <n v="8"/>
    <n v="1.6"/>
    <n v="0.4"/>
    <n v="1"/>
    <n v="0"/>
    <n v="107"/>
    <n v="0"/>
    <n v="4"/>
    <n v="0"/>
    <n v="0"/>
    <n v="14.8"/>
    <n v="0.5"/>
    <n v="0"/>
    <n v="0.1"/>
    <n v="1.5"/>
    <n v="0.84"/>
    <n v="0.43"/>
    <n v="1.27"/>
    <n v="3.28"/>
    <n v="0"/>
    <s v="Hamstring injury - Expected back 22 Nov"/>
    <n v="165"/>
    <n v="41"/>
    <n v="331"/>
    <n v="37"/>
    <n v="324"/>
    <n v="32"/>
    <n v="285"/>
    <n v="45"/>
  </r>
  <r>
    <s v="Charalampos Kostoulas"/>
    <x v="14"/>
    <x v="0"/>
    <n v="4.8"/>
    <n v="8"/>
    <n v="2"/>
    <n v="0.3"/>
    <n v="1"/>
    <n v="0"/>
    <n v="29"/>
    <n v="0"/>
    <n v="1"/>
    <n v="0"/>
    <n v="0"/>
    <n v="8.1999999999999993"/>
    <n v="2"/>
    <n v="0"/>
    <n v="0.4"/>
    <n v="1.7"/>
    <n v="0.27"/>
    <n v="0.01"/>
    <n v="0.28000000000000003"/>
    <n v="0.79"/>
    <n v="0"/>
    <s v="No News"/>
    <n v="376"/>
    <n v="59"/>
    <n v="186"/>
    <n v="18"/>
    <n v="276"/>
    <n v="28"/>
    <n v="296"/>
    <n v="48"/>
  </r>
  <r>
    <s v="Carlos Alcaraz"/>
    <x v="9"/>
    <x v="2"/>
    <n v="5.2"/>
    <n v="8"/>
    <n v="1"/>
    <n v="0.1"/>
    <n v="0"/>
    <n v="0"/>
    <n v="242"/>
    <n v="0"/>
    <n v="4"/>
    <n v="0"/>
    <n v="0"/>
    <n v="9.8000000000000007"/>
    <n v="0.8"/>
    <n v="0"/>
    <n v="0.2"/>
    <n v="1.5"/>
    <n v="0.16"/>
    <n v="7.0000000000000007E-2"/>
    <n v="0.23"/>
    <n v="5.68"/>
    <n v="2"/>
    <s v="No News"/>
    <n v="227"/>
    <n v="140"/>
    <n v="294"/>
    <n v="143"/>
    <n v="414"/>
    <n v="196"/>
    <n v="481"/>
    <n v="166"/>
  </r>
  <r>
    <s v="Felipe Morato"/>
    <x v="18"/>
    <x v="1"/>
    <n v="4.4000000000000004"/>
    <n v="8"/>
    <n v="1.3"/>
    <n v="0.1"/>
    <n v="0"/>
    <n v="0"/>
    <n v="438"/>
    <n v="0"/>
    <n v="9"/>
    <n v="0"/>
    <n v="0"/>
    <n v="10.199999999999999"/>
    <n v="0.2"/>
    <n v="0"/>
    <n v="0"/>
    <n v="1.8"/>
    <n v="0.03"/>
    <n v="0.03"/>
    <n v="0.06"/>
    <n v="7.13"/>
    <n v="5"/>
    <s v="No News"/>
    <n v="525"/>
    <n v="126"/>
    <n v="354"/>
    <n v="124"/>
    <n v="352"/>
    <n v="124"/>
    <n v="504"/>
    <n v="183"/>
  </r>
  <r>
    <s v="Jean-Clair Todibo"/>
    <x v="16"/>
    <x v="1"/>
    <n v="4.3"/>
    <n v="7"/>
    <n v="1.2"/>
    <n v="0.1"/>
    <n v="0"/>
    <n v="0"/>
    <n v="486"/>
    <n v="0"/>
    <n v="12"/>
    <n v="0"/>
    <n v="0"/>
    <n v="13.1"/>
    <n v="1.5"/>
    <n v="0"/>
    <n v="0.3"/>
    <n v="1.6"/>
    <n v="0"/>
    <n v="0.04"/>
    <n v="0.04"/>
    <n v="7.64"/>
    <n v="6"/>
    <s v="No News"/>
    <n v="591"/>
    <n v="147"/>
    <n v="222"/>
    <n v="71"/>
    <n v="359"/>
    <n v="125"/>
    <n v="466"/>
    <n v="171"/>
  </r>
  <r>
    <s v="Marc Marc Guiu"/>
    <x v="5"/>
    <x v="0"/>
    <n v="4.2"/>
    <n v="7"/>
    <n v="1.2"/>
    <n v="7"/>
    <n v="0"/>
    <n v="0"/>
    <n v="162"/>
    <n v="0"/>
    <n v="2"/>
    <n v="0"/>
    <n v="0"/>
    <n v="4.9000000000000004"/>
    <n v="1"/>
    <n v="0"/>
    <n v="0.2"/>
    <n v="1.7"/>
    <n v="1.19"/>
    <n v="0.01"/>
    <n v="1.2"/>
    <n v="4.1900000000000004"/>
    <n v="1"/>
    <s v="No News"/>
    <n v="612"/>
    <n v="83"/>
    <n v="262"/>
    <n v="28"/>
    <n v="357"/>
    <n v="38"/>
    <n v="55"/>
    <n v="11"/>
  </r>
  <r>
    <s v="Andrey Andrey Santos"/>
    <x v="5"/>
    <x v="2"/>
    <n v="4.5"/>
    <n v="7"/>
    <n v="0.9"/>
    <n v="0.3"/>
    <n v="0"/>
    <n v="0"/>
    <n v="227"/>
    <n v="0"/>
    <n v="2"/>
    <n v="0"/>
    <n v="0"/>
    <n v="11.3"/>
    <n v="0.5"/>
    <n v="0"/>
    <n v="0.1"/>
    <n v="1.6"/>
    <n v="0.7"/>
    <n v="0.05"/>
    <n v="0.75"/>
    <n v="3.02"/>
    <n v="2"/>
    <s v="No News"/>
    <n v="447"/>
    <n v="267"/>
    <n v="312"/>
    <n v="153"/>
    <n v="433"/>
    <n v="207"/>
    <n v="308"/>
    <n v="107"/>
  </r>
  <r>
    <s v="Fer Fer López"/>
    <x v="19"/>
    <x v="2"/>
    <n v="5.2"/>
    <n v="7"/>
    <n v="1.4"/>
    <n v="0"/>
    <n v="0"/>
    <n v="1"/>
    <n v="116"/>
    <n v="0"/>
    <n v="5"/>
    <n v="0"/>
    <n v="0"/>
    <n v="11"/>
    <n v="0.2"/>
    <n v="0"/>
    <n v="0"/>
    <n v="1.3"/>
    <n v="0.14000000000000001"/>
    <n v="0.52"/>
    <n v="0.66"/>
    <n v="1.01"/>
    <n v="1"/>
    <s v="No News"/>
    <n v="229"/>
    <n v="142"/>
    <n v="374"/>
    <n v="179"/>
    <n v="343"/>
    <n v="162"/>
    <n v="625"/>
    <n v="253"/>
  </r>
  <r>
    <s v="Ethan Nwaneri"/>
    <x v="1"/>
    <x v="2"/>
    <n v="5.2"/>
    <n v="7"/>
    <n v="1.4"/>
    <n v="0.1"/>
    <n v="0"/>
    <n v="0"/>
    <n v="163"/>
    <n v="1"/>
    <n v="0"/>
    <n v="0"/>
    <n v="0"/>
    <n v="5.4"/>
    <n v="0.2"/>
    <n v="0"/>
    <n v="0"/>
    <n v="1.3"/>
    <n v="0.23"/>
    <n v="0.08"/>
    <n v="0.31"/>
    <n v="0.73"/>
    <n v="0"/>
    <s v="No News"/>
    <n v="226"/>
    <n v="139"/>
    <n v="373"/>
    <n v="178"/>
    <n v="342"/>
    <n v="161"/>
    <n v="406"/>
    <n v="137"/>
  </r>
  <r>
    <s v="Jorge J.Cuenca"/>
    <x v="15"/>
    <x v="1"/>
    <n v="4.4000000000000004"/>
    <n v="7"/>
    <n v="2.2999999999999998"/>
    <n v="0"/>
    <n v="0"/>
    <n v="0"/>
    <n v="168"/>
    <n v="0"/>
    <n v="2"/>
    <n v="0"/>
    <n v="0"/>
    <n v="5.0999999999999996"/>
    <n v="1"/>
    <n v="0"/>
    <n v="0.2"/>
    <n v="1.6"/>
    <n v="0"/>
    <n v="0.01"/>
    <n v="0.01"/>
    <n v="2.42"/>
    <n v="2"/>
    <s v="No News"/>
    <n v="515"/>
    <n v="123"/>
    <n v="264"/>
    <n v="89"/>
    <n v="224"/>
    <n v="81"/>
    <n v="601"/>
    <n v="211"/>
  </r>
  <r>
    <s v="Kobbie Mainoo"/>
    <x v="6"/>
    <x v="2"/>
    <n v="4.7"/>
    <n v="7"/>
    <n v="1"/>
    <n v="0.4"/>
    <n v="0"/>
    <n v="0"/>
    <n v="138"/>
    <n v="0"/>
    <n v="6"/>
    <n v="0"/>
    <n v="0"/>
    <n v="9.1"/>
    <n v="0.5"/>
    <n v="0"/>
    <n v="0.1"/>
    <n v="1.5"/>
    <n v="7.0000000000000007E-2"/>
    <n v="0.12"/>
    <n v="0.19"/>
    <n v="3.53"/>
    <n v="0"/>
    <s v="Knock - 75% chance of playing"/>
    <n v="383"/>
    <n v="239"/>
    <n v="314"/>
    <n v="155"/>
    <n v="393"/>
    <n v="182"/>
    <n v="245"/>
    <n v="87"/>
  </r>
  <r>
    <s v="Douglas Luiz Douglas Luiz"/>
    <x v="18"/>
    <x v="2"/>
    <n v="5"/>
    <n v="7"/>
    <n v="1.8"/>
    <n v="0"/>
    <n v="0"/>
    <n v="1"/>
    <n v="185"/>
    <n v="0"/>
    <n v="5"/>
    <n v="0"/>
    <n v="0"/>
    <n v="8"/>
    <n v="0.5"/>
    <n v="0"/>
    <n v="0.1"/>
    <n v="1.4"/>
    <n v="0.02"/>
    <n v="0.48"/>
    <n v="0.5"/>
    <n v="2.2599999999999998"/>
    <n v="4"/>
    <s v="Hamstring injury - Unknown return date"/>
    <n v="260"/>
    <n v="161"/>
    <n v="321"/>
    <n v="160"/>
    <n v="299"/>
    <n v="138"/>
    <n v="576"/>
    <n v="215"/>
  </r>
  <r>
    <s v="Ilia Gruev"/>
    <x v="17"/>
    <x v="2"/>
    <n v="4.8"/>
    <n v="7"/>
    <n v="1.4"/>
    <n v="0"/>
    <n v="0"/>
    <n v="0"/>
    <n v="211"/>
    <n v="1"/>
    <n v="6"/>
    <n v="0"/>
    <n v="0"/>
    <n v="3.6"/>
    <n v="0"/>
    <n v="0"/>
    <n v="0"/>
    <n v="1.5"/>
    <n v="0"/>
    <n v="0.01"/>
    <n v="0.01"/>
    <n v="3.86"/>
    <n v="2"/>
    <s v="No News"/>
    <n v="370"/>
    <n v="233"/>
    <n v="655"/>
    <n v="269"/>
    <n v="340"/>
    <n v="159"/>
    <n v="610"/>
    <n v="243"/>
  </r>
  <r>
    <s v="Jeremie Frimpong"/>
    <x v="10"/>
    <x v="1"/>
    <n v="5.8"/>
    <n v="7"/>
    <n v="1.8"/>
    <n v="5.0999999999999996"/>
    <n v="0"/>
    <n v="1"/>
    <n v="83"/>
    <n v="0"/>
    <n v="1"/>
    <n v="0"/>
    <n v="0"/>
    <n v="6.6"/>
    <n v="0.2"/>
    <n v="0"/>
    <n v="0"/>
    <n v="1.2"/>
    <n v="0.09"/>
    <n v="0.34"/>
    <n v="0.43"/>
    <n v="1.96"/>
    <n v="1"/>
    <s v="Hamstring injury - Unknown return date"/>
    <n v="110"/>
    <n v="7"/>
    <n v="377"/>
    <n v="131"/>
    <n v="304"/>
    <n v="108"/>
    <n v="68"/>
    <n v="22"/>
  </r>
  <r>
    <s v="Samuel Chukwueze"/>
    <x v="15"/>
    <x v="2"/>
    <n v="5.3"/>
    <n v="7"/>
    <n v="1.8"/>
    <n v="0"/>
    <n v="0"/>
    <n v="1"/>
    <n v="77"/>
    <n v="0"/>
    <n v="4"/>
    <n v="0"/>
    <n v="0"/>
    <n v="8.6999999999999993"/>
    <n v="0.5"/>
    <n v="0"/>
    <n v="0.1"/>
    <n v="1.3"/>
    <n v="0.6"/>
    <n v="0.51"/>
    <n v="1.1100000000000001"/>
    <n v="1.32"/>
    <n v="0"/>
    <s v="No News"/>
    <n v="199"/>
    <n v="125"/>
    <n v="328"/>
    <n v="164"/>
    <n v="301"/>
    <n v="140"/>
    <n v="660"/>
    <n v="276"/>
  </r>
  <r>
    <s v="Joël Veltman"/>
    <x v="14"/>
    <x v="1"/>
    <n v="4.3"/>
    <n v="7"/>
    <n v="1.4"/>
    <n v="0.1"/>
    <n v="0"/>
    <n v="0"/>
    <n v="339"/>
    <n v="0"/>
    <n v="6"/>
    <n v="0"/>
    <n v="0"/>
    <n v="9.6999999999999993"/>
    <n v="0"/>
    <n v="0"/>
    <n v="0"/>
    <n v="1.6"/>
    <n v="0"/>
    <n v="0.01"/>
    <n v="0.01"/>
    <n v="6.1"/>
    <n v="4"/>
    <s v="Calf injury - 25% chance of playing"/>
    <n v="574"/>
    <n v="135"/>
    <n v="510"/>
    <n v="210"/>
    <n v="335"/>
    <n v="118"/>
    <n v="454"/>
    <n v="166"/>
  </r>
  <r>
    <s v="Marco M.Bizot"/>
    <x v="12"/>
    <x v="3"/>
    <n v="4.3"/>
    <n v="7"/>
    <n v="3.5"/>
    <n v="0.5"/>
    <n v="0"/>
    <n v="0"/>
    <n v="180"/>
    <n v="1"/>
    <n v="3"/>
    <n v="4"/>
    <n v="0"/>
    <n v="2.6"/>
    <n v="0"/>
    <n v="0"/>
    <n v="0"/>
    <n v="1.6"/>
    <n v="0"/>
    <n v="0"/>
    <n v="0"/>
    <n v="4.0999999999999996"/>
    <n v="2"/>
    <s v="No News"/>
    <n v="570"/>
    <n v="32"/>
    <n v="508"/>
    <n v="70"/>
    <n v="117"/>
    <n v="12"/>
    <n v="240"/>
    <n v="33"/>
  </r>
  <r>
    <s v="Ben Gannon-Doak"/>
    <x v="2"/>
    <x v="2"/>
    <n v="4.9000000000000004"/>
    <n v="7"/>
    <n v="1.8"/>
    <n v="0"/>
    <n v="0"/>
    <n v="1"/>
    <n v="53"/>
    <n v="0"/>
    <n v="1"/>
    <n v="0"/>
    <n v="0"/>
    <n v="4.7"/>
    <n v="0.5"/>
    <n v="0"/>
    <n v="0.1"/>
    <n v="1.4"/>
    <n v="0.09"/>
    <n v="0.09"/>
    <n v="0.18"/>
    <n v="2.66"/>
    <n v="0"/>
    <s v="No News"/>
    <n v="337"/>
    <n v="212"/>
    <n v="317"/>
    <n v="157"/>
    <n v="297"/>
    <n v="136"/>
    <n v="585"/>
    <n v="223"/>
  </r>
  <r>
    <s v="Ola Aina"/>
    <x v="18"/>
    <x v="1"/>
    <n v="4.7"/>
    <n v="6"/>
    <n v="2"/>
    <n v="2.4"/>
    <n v="0"/>
    <n v="0"/>
    <n v="270"/>
    <n v="0"/>
    <n v="5"/>
    <n v="0"/>
    <n v="0"/>
    <n v="9.8000000000000007"/>
    <n v="0"/>
    <n v="0"/>
    <n v="0"/>
    <n v="1.3"/>
    <n v="0.04"/>
    <n v="0.32"/>
    <n v="0.36"/>
    <n v="5.0199999999999996"/>
    <n v="3"/>
    <s v="Hamstring injury - Expected back 13 Dec"/>
    <n v="377"/>
    <n v="65"/>
    <n v="642"/>
    <n v="232"/>
    <n v="273"/>
    <n v="99"/>
    <n v="114"/>
    <n v="43"/>
  </r>
  <r>
    <s v="Wilfried Gnonto"/>
    <x v="17"/>
    <x v="2"/>
    <n v="5.2"/>
    <n v="6"/>
    <n v="1.5"/>
    <n v="0.1"/>
    <n v="0"/>
    <n v="0"/>
    <n v="191"/>
    <n v="1"/>
    <n v="5"/>
    <n v="0"/>
    <n v="0"/>
    <n v="5.3"/>
    <n v="0"/>
    <n v="0"/>
    <n v="0"/>
    <n v="1.2"/>
    <n v="0.18"/>
    <n v="0.06"/>
    <n v="0.24"/>
    <n v="2.4900000000000002"/>
    <n v="3"/>
    <s v="No News"/>
    <n v="224"/>
    <n v="138"/>
    <n v="701"/>
    <n v="301"/>
    <n v="330"/>
    <n v="155"/>
    <n v="485"/>
    <n v="169"/>
  </r>
  <r>
    <s v="Myles Lewis-Skelly"/>
    <x v="1"/>
    <x v="1"/>
    <n v="5.2"/>
    <n v="6"/>
    <n v="0.9"/>
    <n v="1.6"/>
    <n v="0"/>
    <n v="0"/>
    <n v="86"/>
    <n v="0"/>
    <n v="0"/>
    <n v="0"/>
    <n v="0"/>
    <n v="2"/>
    <n v="0.5"/>
    <n v="0"/>
    <n v="0.1"/>
    <n v="1.2"/>
    <n v="0"/>
    <n v="0"/>
    <n v="0"/>
    <n v="0.99"/>
    <n v="0"/>
    <s v="No News"/>
    <n v="225"/>
    <n v="33"/>
    <n v="327"/>
    <n v="108"/>
    <n v="434"/>
    <n v="145"/>
    <n v="141"/>
    <n v="54"/>
  </r>
  <r>
    <s v="Benjamin White"/>
    <x v="1"/>
    <x v="1"/>
    <n v="5.3"/>
    <n v="6"/>
    <n v="6"/>
    <n v="0.4"/>
    <n v="0"/>
    <n v="0"/>
    <n v="70"/>
    <n v="1"/>
    <n v="0"/>
    <n v="0"/>
    <n v="0"/>
    <n v="2.8"/>
    <n v="0"/>
    <n v="0"/>
    <n v="0"/>
    <n v="1.1000000000000001"/>
    <n v="0.01"/>
    <n v="0.01"/>
    <n v="0.02"/>
    <n v="0.87"/>
    <n v="1"/>
    <s v="No News"/>
    <n v="195"/>
    <n v="26"/>
    <n v="705"/>
    <n v="243"/>
    <n v="7"/>
    <n v="5"/>
    <n v="265"/>
    <n v="100"/>
  </r>
  <r>
    <s v="Joël Piroe"/>
    <x v="17"/>
    <x v="0"/>
    <n v="5"/>
    <n v="6"/>
    <n v="1.2"/>
    <n v="0.4"/>
    <n v="0"/>
    <n v="0"/>
    <n v="178"/>
    <n v="1"/>
    <n v="5"/>
    <n v="0"/>
    <n v="0"/>
    <n v="9.6"/>
    <n v="0.5"/>
    <n v="0"/>
    <n v="0.1"/>
    <n v="1.2"/>
    <n v="0.51"/>
    <n v="0.06"/>
    <n v="0.56999999999999995"/>
    <n v="3"/>
    <n v="2"/>
    <s v="No News"/>
    <n v="262"/>
    <n v="51"/>
    <n v="322"/>
    <n v="35"/>
    <n v="361"/>
    <n v="39"/>
    <n v="266"/>
    <n v="39"/>
  </r>
  <r>
    <s v="Toti Toti"/>
    <x v="19"/>
    <x v="1"/>
    <n v="4.3"/>
    <n v="6"/>
    <n v="0.8"/>
    <n v="0.1"/>
    <n v="0"/>
    <n v="0"/>
    <n v="525"/>
    <n v="0"/>
    <n v="17"/>
    <n v="0"/>
    <n v="0"/>
    <n v="17.899999999999999"/>
    <n v="0.2"/>
    <n v="0"/>
    <n v="0"/>
    <n v="1.4"/>
    <n v="0.04"/>
    <n v="0.17"/>
    <n v="0.21"/>
    <n v="10.82"/>
    <n v="7"/>
    <s v="No News"/>
    <n v="599"/>
    <n v="151"/>
    <n v="348"/>
    <n v="118"/>
    <n v="437"/>
    <n v="148"/>
    <n v="462"/>
    <n v="170"/>
  </r>
  <r>
    <s v="Ian Maatsen"/>
    <x v="12"/>
    <x v="1"/>
    <n v="4.3"/>
    <n v="6"/>
    <n v="0.9"/>
    <n v="0.4"/>
    <n v="0"/>
    <n v="0"/>
    <n v="169"/>
    <n v="0"/>
    <n v="4"/>
    <n v="0"/>
    <n v="0"/>
    <n v="15.1"/>
    <n v="0.8"/>
    <n v="0"/>
    <n v="0.2"/>
    <n v="1.4"/>
    <n v="0.15"/>
    <n v="0.21"/>
    <n v="0.36"/>
    <n v="3.54"/>
    <n v="1"/>
    <s v="No News"/>
    <n v="589"/>
    <n v="146"/>
    <n v="285"/>
    <n v="95"/>
    <n v="432"/>
    <n v="144"/>
    <n v="249"/>
    <n v="91"/>
  </r>
  <r>
    <s v="Endo Endo"/>
    <x v="10"/>
    <x v="2"/>
    <n v="4.9000000000000004"/>
    <n v="6"/>
    <n v="1.5"/>
    <n v="0.1"/>
    <n v="0"/>
    <n v="1"/>
    <n v="36"/>
    <n v="0"/>
    <n v="3"/>
    <n v="0"/>
    <n v="0"/>
    <n v="3.9"/>
    <n v="0"/>
    <n v="0"/>
    <n v="0"/>
    <n v="1.2"/>
    <n v="0"/>
    <n v="0"/>
    <n v="0"/>
    <n v="1.71"/>
    <n v="0"/>
    <s v="No News"/>
    <n v="294"/>
    <n v="185"/>
    <n v="661"/>
    <n v="273"/>
    <n v="328"/>
    <n v="153"/>
    <n v="475"/>
    <n v="161"/>
  </r>
  <r>
    <s v="Jaka Bijol"/>
    <x v="17"/>
    <x v="1"/>
    <n v="3.9"/>
    <n v="6"/>
    <n v="2"/>
    <n v="0.1"/>
    <n v="0"/>
    <n v="0"/>
    <n v="261"/>
    <n v="0"/>
    <n v="6"/>
    <n v="0"/>
    <n v="0"/>
    <n v="6.8"/>
    <n v="1.5"/>
    <n v="0"/>
    <n v="0.4"/>
    <n v="1.5"/>
    <n v="0"/>
    <n v="0.01"/>
    <n v="0.01"/>
    <n v="5.43"/>
    <n v="3"/>
    <s v="No News"/>
    <n v="710"/>
    <n v="215"/>
    <n v="220"/>
    <n v="69"/>
    <n v="268"/>
    <n v="95"/>
    <n v="402"/>
    <n v="148"/>
  </r>
  <r>
    <s v="Liam Delap"/>
    <x v="5"/>
    <x v="0"/>
    <n v="6.2"/>
    <n v="6"/>
    <n v="1.5"/>
    <n v="1"/>
    <n v="0"/>
    <n v="0"/>
    <n v="154"/>
    <n v="1"/>
    <n v="1"/>
    <n v="0"/>
    <n v="0"/>
    <n v="6.9"/>
    <n v="0.5"/>
    <n v="0"/>
    <n v="0.1"/>
    <n v="1"/>
    <n v="0.34"/>
    <n v="0.04"/>
    <n v="0.38"/>
    <n v="0.34"/>
    <n v="3"/>
    <s v="No News"/>
    <n v="80"/>
    <n v="26"/>
    <n v="337"/>
    <n v="40"/>
    <n v="332"/>
    <n v="33"/>
    <n v="181"/>
    <n v="27"/>
  </r>
  <r>
    <s v="Soungoutou S.Magassa"/>
    <x v="16"/>
    <x v="2"/>
    <n v="5"/>
    <n v="6"/>
    <n v="1"/>
    <n v="0"/>
    <n v="0"/>
    <n v="0"/>
    <n v="189"/>
    <n v="0"/>
    <n v="4"/>
    <n v="0"/>
    <n v="0"/>
    <n v="4.3"/>
    <n v="0.5"/>
    <n v="0"/>
    <n v="0.1"/>
    <n v="1.2"/>
    <n v="0"/>
    <n v="0.01"/>
    <n v="0.01"/>
    <n v="3.86"/>
    <n v="2"/>
    <s v="No News"/>
    <n v="283"/>
    <n v="177"/>
    <n v="324"/>
    <n v="162"/>
    <n v="409"/>
    <n v="193"/>
    <n v="692"/>
    <n v="297"/>
  </r>
  <r>
    <s v="Randal Kolo Muani"/>
    <x v="7"/>
    <x v="0"/>
    <n v="6.9"/>
    <n v="6"/>
    <n v="1.5"/>
    <n v="0.3"/>
    <n v="0"/>
    <n v="0"/>
    <n v="189"/>
    <n v="1"/>
    <n v="2"/>
    <n v="0"/>
    <n v="0"/>
    <n v="3.6"/>
    <n v="1.5"/>
    <n v="0"/>
    <n v="0.2"/>
    <n v="0.9"/>
    <n v="0.13"/>
    <n v="0.05"/>
    <n v="0.18"/>
    <n v="3.74"/>
    <n v="3"/>
    <s v="No News"/>
    <n v="39"/>
    <n v="16"/>
    <n v="237"/>
    <n v="26"/>
    <n v="334"/>
    <n v="34"/>
    <n v="325"/>
    <n v="53"/>
  </r>
  <r>
    <s v="Rico Henry"/>
    <x v="4"/>
    <x v="1"/>
    <n v="4.3"/>
    <n v="6"/>
    <n v="0.8"/>
    <n v="0.1"/>
    <n v="0"/>
    <n v="0"/>
    <n v="189"/>
    <n v="0"/>
    <n v="6"/>
    <n v="0"/>
    <n v="0"/>
    <n v="4.5999999999999996"/>
    <n v="0.5"/>
    <n v="0"/>
    <n v="0.1"/>
    <n v="1.4"/>
    <n v="0.13"/>
    <n v="0.06"/>
    <n v="0.19"/>
    <n v="4.99"/>
    <n v="1"/>
    <s v="No News"/>
    <n v="581"/>
    <n v="140"/>
    <n v="307"/>
    <n v="101"/>
    <n v="436"/>
    <n v="147"/>
    <n v="453"/>
    <n v="165"/>
  </r>
  <r>
    <s v="Arnaud Kalimuendo"/>
    <x v="18"/>
    <x v="0"/>
    <n v="6"/>
    <n v="6"/>
    <n v="1"/>
    <n v="0.1"/>
    <n v="0"/>
    <n v="0"/>
    <n v="66"/>
    <n v="0"/>
    <n v="2"/>
    <n v="0"/>
    <n v="0"/>
    <n v="4.0999999999999996"/>
    <n v="0.2"/>
    <n v="0"/>
    <n v="0"/>
    <n v="1"/>
    <n v="0.35"/>
    <n v="0.02"/>
    <n v="0.37"/>
    <n v="1.48"/>
    <n v="0"/>
    <s v="No News"/>
    <n v="87"/>
    <n v="27"/>
    <n v="381"/>
    <n v="48"/>
    <n v="428"/>
    <n v="52"/>
    <n v="444"/>
    <n v="62"/>
  </r>
  <r>
    <s v="José José Sá"/>
    <x v="19"/>
    <x v="3"/>
    <n v="4.3"/>
    <n v="5"/>
    <n v="1.2"/>
    <n v="1.2"/>
    <n v="0"/>
    <n v="0"/>
    <n v="360"/>
    <n v="0"/>
    <n v="11"/>
    <n v="5"/>
    <n v="0"/>
    <n v="5.5"/>
    <n v="0"/>
    <n v="0"/>
    <n v="0"/>
    <n v="1.2"/>
    <n v="0"/>
    <n v="0.03"/>
    <n v="0.03"/>
    <n v="6.17"/>
    <n v="4"/>
    <s v="No News"/>
    <n v="578"/>
    <n v="34"/>
    <n v="513"/>
    <n v="71"/>
    <n v="358"/>
    <n v="27"/>
    <n v="167"/>
    <n v="23"/>
  </r>
  <r>
    <s v="Jacob J.Ramsey"/>
    <x v="13"/>
    <x v="2"/>
    <n v="5.3"/>
    <n v="5"/>
    <n v="1"/>
    <n v="0.2"/>
    <n v="0"/>
    <n v="0"/>
    <n v="190"/>
    <n v="0"/>
    <n v="6"/>
    <n v="0"/>
    <n v="0"/>
    <n v="12.9"/>
    <n v="0.8"/>
    <n v="0"/>
    <n v="0.2"/>
    <n v="0.9"/>
    <n v="0.03"/>
    <n v="0.23"/>
    <n v="0.26"/>
    <n v="5.13"/>
    <n v="1"/>
    <s v="No News"/>
    <n v="200"/>
    <n v="126"/>
    <n v="295"/>
    <n v="144"/>
    <n v="416"/>
    <n v="198"/>
    <n v="357"/>
    <n v="122"/>
  </r>
  <r>
    <s v="Ki-Jana Hoever"/>
    <x v="19"/>
    <x v="1"/>
    <n v="3.9"/>
    <n v="5"/>
    <n v="1"/>
    <n v="0.9"/>
    <n v="0"/>
    <n v="0"/>
    <n v="249"/>
    <n v="0"/>
    <n v="8"/>
    <n v="0"/>
    <n v="0"/>
    <n v="13.1"/>
    <n v="0.8"/>
    <n v="0"/>
    <n v="0.2"/>
    <n v="1.3"/>
    <n v="0.02"/>
    <n v="0.31"/>
    <n v="0.33"/>
    <n v="4.2"/>
    <n v="4"/>
    <s v="No News"/>
    <n v="714"/>
    <n v="219"/>
    <n v="283"/>
    <n v="93"/>
    <n v="372"/>
    <n v="130"/>
    <n v="187"/>
    <n v="70"/>
  </r>
  <r>
    <s v="Armando Broja"/>
    <x v="11"/>
    <x v="0"/>
    <n v="5.2"/>
    <n v="5"/>
    <n v="1"/>
    <n v="0.1"/>
    <n v="0"/>
    <n v="0"/>
    <n v="75"/>
    <n v="0"/>
    <n v="6"/>
    <n v="0"/>
    <n v="0"/>
    <n v="2.2000000000000002"/>
    <n v="0.5"/>
    <n v="0"/>
    <n v="0.1"/>
    <n v="1"/>
    <n v="0"/>
    <n v="0"/>
    <n v="0"/>
    <n v="3.96"/>
    <n v="0"/>
    <s v="No News"/>
    <n v="221"/>
    <n v="47"/>
    <n v="326"/>
    <n v="36"/>
    <n v="413"/>
    <n v="48"/>
    <n v="433"/>
    <n v="60"/>
  </r>
  <r>
    <s v="Oleksandr Zinchenko"/>
    <x v="18"/>
    <x v="1"/>
    <n v="4.9000000000000004"/>
    <n v="5"/>
    <n v="1.7"/>
    <n v="0.2"/>
    <n v="0"/>
    <n v="0"/>
    <n v="253"/>
    <n v="0"/>
    <n v="4"/>
    <n v="0"/>
    <n v="0"/>
    <n v="13"/>
    <n v="0.2"/>
    <n v="0"/>
    <n v="0"/>
    <n v="1"/>
    <n v="0.04"/>
    <n v="0.3"/>
    <n v="0.34"/>
    <n v="3.45"/>
    <n v="3"/>
    <s v="Muscle injury - Unknown return date"/>
    <n v="303"/>
    <n v="47"/>
    <n v="366"/>
    <n v="129"/>
    <n v="310"/>
    <n v="111"/>
    <n v="340"/>
    <n v="120"/>
  </r>
  <r>
    <s v="Max Dowman"/>
    <x v="1"/>
    <x v="2"/>
    <n v="4.3"/>
    <n v="5"/>
    <n v="2.5"/>
    <n v="0.4"/>
    <n v="0"/>
    <n v="1"/>
    <n v="27"/>
    <n v="0"/>
    <n v="0"/>
    <n v="0"/>
    <n v="0"/>
    <n v="2.8"/>
    <n v="0"/>
    <n v="0"/>
    <n v="0"/>
    <n v="1.2"/>
    <n v="0.14000000000000001"/>
    <n v="0.02"/>
    <n v="0.16"/>
    <n v="0.12"/>
    <n v="0"/>
    <s v="No News"/>
    <n v="609"/>
    <n v="334"/>
    <n v="528"/>
    <n v="187"/>
    <n v="204"/>
    <n v="93"/>
    <n v="277"/>
    <n v="97"/>
  </r>
  <r>
    <s v="Lewis Cook"/>
    <x v="2"/>
    <x v="2"/>
    <n v="4.9000000000000004"/>
    <n v="5"/>
    <n v="1"/>
    <n v="0"/>
    <n v="0"/>
    <n v="0"/>
    <n v="79"/>
    <n v="0"/>
    <n v="3"/>
    <n v="0"/>
    <n v="0"/>
    <n v="3.1"/>
    <n v="1"/>
    <n v="0"/>
    <n v="0.2"/>
    <n v="1"/>
    <n v="0.02"/>
    <n v="0.02"/>
    <n v="0.04"/>
    <n v="2.61"/>
    <n v="0"/>
    <s v="No News"/>
    <n v="293"/>
    <n v="184"/>
    <n v="270"/>
    <n v="130"/>
    <n v="399"/>
    <n v="187"/>
    <n v="639"/>
    <n v="261"/>
  </r>
  <r>
    <s v="Dilane Bakwa"/>
    <x v="18"/>
    <x v="2"/>
    <n v="6"/>
    <n v="5"/>
    <n v="1.2"/>
    <n v="0"/>
    <n v="0"/>
    <n v="0"/>
    <n v="172"/>
    <n v="0"/>
    <n v="4"/>
    <n v="0"/>
    <n v="0"/>
    <n v="15.3"/>
    <n v="0"/>
    <n v="0"/>
    <n v="0"/>
    <n v="0.8"/>
    <n v="0.13"/>
    <n v="0.27"/>
    <n v="0.4"/>
    <n v="3.23"/>
    <n v="2"/>
    <s v="Knock - Unknown return date"/>
    <n v="88"/>
    <n v="57"/>
    <n v="733"/>
    <n v="324"/>
    <n v="364"/>
    <n v="172"/>
    <n v="686"/>
    <n v="293"/>
  </r>
  <r>
    <s v="Joe Willock"/>
    <x v="13"/>
    <x v="2"/>
    <n v="5"/>
    <n v="5"/>
    <n v="1.7"/>
    <n v="0.1"/>
    <n v="0"/>
    <n v="0"/>
    <n v="99"/>
    <n v="1"/>
    <n v="2"/>
    <n v="0"/>
    <n v="0"/>
    <n v="1.9"/>
    <n v="0.2"/>
    <n v="0"/>
    <n v="0"/>
    <n v="1"/>
    <n v="0.09"/>
    <n v="0.02"/>
    <n v="0.11"/>
    <n v="2.34"/>
    <n v="1"/>
    <s v="No News"/>
    <n v="251"/>
    <n v="155"/>
    <n v="371"/>
    <n v="176"/>
    <n v="311"/>
    <n v="144"/>
    <n v="535"/>
    <n v="194"/>
  </r>
  <r>
    <s v="Tyrique George"/>
    <x v="5"/>
    <x v="2"/>
    <n v="4.9000000000000004"/>
    <n v="4"/>
    <n v="1"/>
    <n v="0.1"/>
    <n v="0"/>
    <n v="0"/>
    <n v="142"/>
    <n v="1"/>
    <n v="2"/>
    <n v="0"/>
    <n v="0"/>
    <n v="7.1"/>
    <n v="0.2"/>
    <n v="0"/>
    <n v="0"/>
    <n v="0.8"/>
    <n v="0.32"/>
    <n v="0.08"/>
    <n v="0.4"/>
    <n v="1.65"/>
    <n v="0"/>
    <s v="No News"/>
    <n v="343"/>
    <n v="217"/>
    <n v="370"/>
    <n v="175"/>
    <n v="405"/>
    <n v="190"/>
    <n v="546"/>
    <n v="200"/>
  </r>
  <r>
    <s v="Joshua Zirkzee"/>
    <x v="6"/>
    <x v="0"/>
    <n v="5.8"/>
    <n v="4"/>
    <n v="1"/>
    <n v="0.4"/>
    <n v="0"/>
    <n v="0"/>
    <n v="82"/>
    <n v="0"/>
    <n v="4"/>
    <n v="0"/>
    <n v="0"/>
    <n v="8.9"/>
    <n v="0.2"/>
    <n v="0"/>
    <n v="0"/>
    <n v="0.7"/>
    <n v="0.79"/>
    <n v="0.03"/>
    <n v="0.82"/>
    <n v="1.8"/>
    <n v="0"/>
    <s v="No News"/>
    <n v="113"/>
    <n v="29"/>
    <n v="379"/>
    <n v="47"/>
    <n v="426"/>
    <n v="51"/>
    <n v="281"/>
    <n v="43"/>
  </r>
  <r>
    <s v="Taiwo Awoniyi"/>
    <x v="18"/>
    <x v="0"/>
    <n v="5.2"/>
    <n v="4"/>
    <n v="1"/>
    <n v="0.4"/>
    <n v="0"/>
    <n v="0"/>
    <n v="133"/>
    <n v="0"/>
    <n v="1"/>
    <n v="0"/>
    <n v="0"/>
    <n v="7.7"/>
    <n v="1"/>
    <n v="0"/>
    <n v="0.2"/>
    <n v="0.8"/>
    <n v="0.19"/>
    <n v="0.02"/>
    <n v="0.21"/>
    <n v="1.59"/>
    <n v="1"/>
    <s v="No News"/>
    <n v="216"/>
    <n v="46"/>
    <n v="272"/>
    <n v="30"/>
    <n v="412"/>
    <n v="47"/>
    <n v="280"/>
    <n v="42"/>
  </r>
  <r>
    <s v="Jack Hinshelwood"/>
    <x v="14"/>
    <x v="2"/>
    <n v="5.0999999999999996"/>
    <n v="4"/>
    <n v="1.3"/>
    <n v="0"/>
    <n v="0"/>
    <n v="0"/>
    <n v="107"/>
    <n v="0"/>
    <n v="2"/>
    <n v="0"/>
    <n v="0"/>
    <n v="1.2"/>
    <n v="0"/>
    <n v="0"/>
    <n v="0"/>
    <n v="0.8"/>
    <n v="0"/>
    <n v="0.01"/>
    <n v="0.01"/>
    <n v="2.3199999999999998"/>
    <n v="2"/>
    <s v="Ankle injury - Unknown return date"/>
    <n v="236"/>
    <n v="147"/>
    <n v="698"/>
    <n v="299"/>
    <n v="354"/>
    <n v="168"/>
    <n v="633"/>
    <n v="259"/>
  </r>
  <r>
    <s v="Archie Gray"/>
    <x v="7"/>
    <x v="2"/>
    <n v="4.8"/>
    <n v="4"/>
    <n v="2"/>
    <n v="0.1"/>
    <n v="0"/>
    <n v="0"/>
    <n v="71"/>
    <n v="1"/>
    <n v="0"/>
    <n v="0"/>
    <n v="0"/>
    <n v="2.2000000000000002"/>
    <n v="0"/>
    <n v="0"/>
    <n v="0"/>
    <n v="0.8"/>
    <n v="0"/>
    <n v="0.05"/>
    <n v="0.05"/>
    <n v="0.89"/>
    <n v="1"/>
    <s v="Calf injury - Unknown return date"/>
    <n v="373"/>
    <n v="234"/>
    <n v="657"/>
    <n v="270"/>
    <n v="275"/>
    <n v="124"/>
    <n v="467"/>
    <n v="157"/>
  </r>
  <r>
    <s v="Hamed H.Traorè"/>
    <x v="2"/>
    <x v="2"/>
    <n v="4.5"/>
    <n v="4"/>
    <n v="4"/>
    <n v="0.4"/>
    <n v="0"/>
    <n v="1"/>
    <n v="16"/>
    <n v="0"/>
    <n v="2"/>
    <n v="0"/>
    <n v="0"/>
    <n v="3.1"/>
    <n v="0"/>
    <n v="0"/>
    <n v="0"/>
    <n v="0.9"/>
    <n v="0"/>
    <n v="0"/>
    <n v="0"/>
    <n v="0.4"/>
    <n v="0"/>
    <s v="has joined Marseille on loan for the rest of the season."/>
    <n v="417"/>
    <n v="248"/>
    <n v="588"/>
    <n v="220"/>
    <n v="77"/>
    <n v="31"/>
    <n v="276"/>
    <n v="96"/>
  </r>
  <r>
    <s v="Ayden Heaven"/>
    <x v="6"/>
    <x v="1"/>
    <n v="3.8"/>
    <n v="4"/>
    <n v="2"/>
    <n v="1.2"/>
    <n v="0"/>
    <n v="1"/>
    <n v="28"/>
    <n v="0"/>
    <n v="2"/>
    <n v="0"/>
    <n v="0"/>
    <n v="3.9"/>
    <n v="0.8"/>
    <n v="0"/>
    <n v="0.2"/>
    <n v="1.1000000000000001"/>
    <n v="0"/>
    <n v="0.08"/>
    <n v="0.08"/>
    <n v="0.59"/>
    <n v="0"/>
    <s v="No News"/>
    <n v="751"/>
    <n v="248"/>
    <n v="282"/>
    <n v="92"/>
    <n v="267"/>
    <n v="94"/>
    <n v="166"/>
    <n v="62"/>
  </r>
  <r>
    <s v="Joe Gomez"/>
    <x v="10"/>
    <x v="1"/>
    <n v="4.9000000000000004"/>
    <n v="4"/>
    <n v="1"/>
    <n v="0.1"/>
    <n v="0"/>
    <n v="0"/>
    <n v="43"/>
    <n v="0"/>
    <n v="1"/>
    <n v="0"/>
    <n v="0"/>
    <n v="2"/>
    <n v="0.5"/>
    <n v="0"/>
    <n v="0.1"/>
    <n v="0.8"/>
    <n v="0.13"/>
    <n v="7.0000000000000007E-2"/>
    <n v="0.2"/>
    <n v="0.56999999999999995"/>
    <n v="0"/>
    <s v="No News"/>
    <n v="298"/>
    <n v="46"/>
    <n v="316"/>
    <n v="106"/>
    <n v="401"/>
    <n v="142"/>
    <n v="413"/>
    <n v="154"/>
  </r>
  <r>
    <s v="Roméo Lavia"/>
    <x v="5"/>
    <x v="2"/>
    <n v="4.9000000000000004"/>
    <n v="4"/>
    <n v="1"/>
    <n v="0"/>
    <n v="0"/>
    <n v="0"/>
    <n v="105"/>
    <n v="0"/>
    <n v="3"/>
    <n v="0"/>
    <n v="0"/>
    <n v="1.8"/>
    <n v="0.5"/>
    <n v="0"/>
    <n v="0.1"/>
    <n v="0.8"/>
    <n v="0"/>
    <n v="0.05"/>
    <n v="0.05"/>
    <n v="2.79"/>
    <n v="1"/>
    <s v="Thigh injury - Unknown return date"/>
    <n v="341"/>
    <n v="215"/>
    <n v="318"/>
    <n v="158"/>
    <n v="403"/>
    <n v="188"/>
    <n v="649"/>
    <n v="269"/>
  </r>
  <r>
    <s v="James Justin"/>
    <x v="17"/>
    <x v="1"/>
    <n v="4"/>
    <n v="4"/>
    <n v="0.8"/>
    <n v="0.2"/>
    <n v="0"/>
    <n v="0"/>
    <n v="77"/>
    <n v="0"/>
    <n v="1"/>
    <n v="0"/>
    <n v="0"/>
    <n v="1.8"/>
    <n v="0.2"/>
    <n v="0"/>
    <n v="0"/>
    <n v="1"/>
    <n v="0"/>
    <n v="0"/>
    <n v="0"/>
    <n v="0.99"/>
    <n v="0"/>
    <s v="No News"/>
    <n v="634"/>
    <n v="165"/>
    <n v="342"/>
    <n v="114"/>
    <n v="435"/>
    <n v="146"/>
    <n v="350"/>
    <n v="125"/>
  </r>
  <r>
    <s v="James McAtee"/>
    <x v="18"/>
    <x v="2"/>
    <n v="5.0999999999999996"/>
    <n v="4"/>
    <n v="1"/>
    <n v="0.1"/>
    <n v="0"/>
    <n v="0"/>
    <n v="126"/>
    <n v="0"/>
    <n v="5"/>
    <n v="0"/>
    <n v="0"/>
    <n v="6.1"/>
    <n v="0"/>
    <n v="0"/>
    <n v="0"/>
    <n v="0.8"/>
    <n v="0.02"/>
    <n v="0.17"/>
    <n v="0.19"/>
    <n v="2.77"/>
    <n v="1"/>
    <s v="No News"/>
    <n v="235"/>
    <n v="146"/>
    <n v="697"/>
    <n v="298"/>
    <n v="410"/>
    <n v="194"/>
    <n v="478"/>
    <n v="164"/>
  </r>
  <r>
    <s v="Harvey Elliott"/>
    <x v="12"/>
    <x v="2"/>
    <n v="5.4"/>
    <n v="4"/>
    <n v="1"/>
    <n v="0.2"/>
    <n v="0"/>
    <n v="0"/>
    <n v="97"/>
    <n v="0"/>
    <n v="2"/>
    <n v="0"/>
    <n v="0"/>
    <n v="4.4000000000000004"/>
    <n v="0"/>
    <n v="0"/>
    <n v="0"/>
    <n v="0.7"/>
    <n v="0.19"/>
    <n v="0.06"/>
    <n v="0.25"/>
    <n v="1.74"/>
    <n v="1"/>
    <s v="No News"/>
    <n v="175"/>
    <n v="108"/>
    <n v="715"/>
    <n v="309"/>
    <n v="419"/>
    <n v="200"/>
    <n v="337"/>
    <n v="117"/>
  </r>
  <r>
    <s v="Jadon Sancho"/>
    <x v="12"/>
    <x v="2"/>
    <n v="5.8"/>
    <n v="4"/>
    <n v="1"/>
    <n v="0.2"/>
    <n v="0"/>
    <n v="0"/>
    <n v="87"/>
    <n v="0"/>
    <n v="0"/>
    <n v="0"/>
    <n v="0"/>
    <n v="11.1"/>
    <n v="0.8"/>
    <n v="0"/>
    <n v="0.1"/>
    <n v="0.7"/>
    <n v="0.32"/>
    <n v="0.13"/>
    <n v="0.45"/>
    <n v="0.6"/>
    <n v="0"/>
    <s v="No News"/>
    <n v="109"/>
    <n v="74"/>
    <n v="303"/>
    <n v="151"/>
    <n v="425"/>
    <n v="204"/>
    <n v="377"/>
    <n v="129"/>
  </r>
  <r>
    <s v="Issa Diop"/>
    <x v="15"/>
    <x v="1"/>
    <n v="4.4000000000000004"/>
    <n v="4"/>
    <n v="1.3"/>
    <n v="0.1"/>
    <n v="0"/>
    <n v="0"/>
    <n v="223"/>
    <n v="0"/>
    <n v="5"/>
    <n v="0"/>
    <n v="0"/>
    <n v="4"/>
    <n v="0.5"/>
    <n v="0"/>
    <n v="0.1"/>
    <n v="0.9"/>
    <n v="0"/>
    <n v="0.02"/>
    <n v="0.02"/>
    <n v="4.0599999999999996"/>
    <n v="2"/>
    <s v="No News"/>
    <n v="504"/>
    <n v="115"/>
    <n v="310"/>
    <n v="104"/>
    <n v="350"/>
    <n v="123"/>
    <n v="512"/>
    <n v="187"/>
  </r>
  <r>
    <s v="Joe Worrall"/>
    <x v="11"/>
    <x v="1"/>
    <n v="3.9"/>
    <n v="4"/>
    <n v="1"/>
    <n v="0.2"/>
    <n v="0"/>
    <n v="0"/>
    <n v="19"/>
    <n v="0"/>
    <n v="2"/>
    <n v="0"/>
    <n v="0"/>
    <n v="1.2"/>
    <n v="0"/>
    <n v="0"/>
    <n v="0"/>
    <n v="1"/>
    <n v="0"/>
    <n v="0"/>
    <n v="0"/>
    <n v="2.17"/>
    <n v="0"/>
    <s v="No News"/>
    <n v="705"/>
    <n v="211"/>
    <n v="395"/>
    <n v="140"/>
    <n v="371"/>
    <n v="129"/>
    <n v="366"/>
    <n v="130"/>
  </r>
  <r>
    <s v="Merlin Röhl"/>
    <x v="9"/>
    <x v="2"/>
    <n v="5"/>
    <n v="4"/>
    <n v="1"/>
    <n v="0"/>
    <n v="0"/>
    <n v="0"/>
    <n v="91"/>
    <n v="0"/>
    <n v="1"/>
    <n v="0"/>
    <n v="0"/>
    <n v="3.2"/>
    <n v="0.8"/>
    <n v="0"/>
    <n v="0.2"/>
    <n v="0.8"/>
    <n v="0.26"/>
    <n v="0.02"/>
    <n v="0.28000000000000003"/>
    <n v="1.54"/>
    <n v="0"/>
    <s v="No News"/>
    <n v="281"/>
    <n v="175"/>
    <n v="293"/>
    <n v="142"/>
    <n v="408"/>
    <n v="192"/>
    <n v="706"/>
    <n v="306"/>
  </r>
  <r>
    <s v="Nayef N.Aguerd"/>
    <x v="16"/>
    <x v="1"/>
    <n v="4.4000000000000004"/>
    <n v="3"/>
    <n v="1.5"/>
    <n v="0"/>
    <n v="0"/>
    <n v="0"/>
    <n v="180"/>
    <n v="0"/>
    <n v="8"/>
    <n v="0"/>
    <n v="0"/>
    <n v="5.0999999999999996"/>
    <n v="0"/>
    <n v="0"/>
    <n v="0"/>
    <n v="0.7"/>
    <n v="0.1"/>
    <n v="0.03"/>
    <n v="0.13"/>
    <n v="3.42"/>
    <n v="2"/>
    <s v="has joined Marseille permanently."/>
    <n v="502"/>
    <n v="113"/>
    <n v="532"/>
    <n v="220"/>
    <n v="325"/>
    <n v="117"/>
    <n v="573"/>
    <n v="208"/>
  </r>
  <r>
    <s v="Christantus Uche"/>
    <x v="3"/>
    <x v="0"/>
    <n v="5.5"/>
    <n v="3"/>
    <n v="1"/>
    <n v="0"/>
    <n v="0"/>
    <n v="0"/>
    <n v="8"/>
    <n v="0"/>
    <n v="1"/>
    <n v="0"/>
    <n v="0"/>
    <n v="2.2999999999999998"/>
    <n v="0.2"/>
    <n v="0"/>
    <n v="0"/>
    <n v="0.5"/>
    <n v="0.01"/>
    <n v="0"/>
    <n v="0.01"/>
    <n v="0.73"/>
    <n v="0"/>
    <s v="No News"/>
    <n v="153"/>
    <n v="39"/>
    <n v="376"/>
    <n v="46"/>
    <n v="423"/>
    <n v="50"/>
    <n v="612"/>
    <n v="76"/>
  </r>
  <r>
    <s v="Jorrel Hato"/>
    <x v="5"/>
    <x v="1"/>
    <n v="4.7"/>
    <n v="3"/>
    <n v="0.8"/>
    <n v="0.2"/>
    <n v="0"/>
    <n v="0"/>
    <n v="166"/>
    <n v="0"/>
    <n v="2"/>
    <n v="0"/>
    <n v="0"/>
    <n v="3.2"/>
    <n v="0"/>
    <n v="0"/>
    <n v="0"/>
    <n v="0.6"/>
    <n v="0"/>
    <n v="0.01"/>
    <n v="0.01"/>
    <n v="2.5099999999999998"/>
    <n v="2"/>
    <s v="No News"/>
    <n v="386"/>
    <n v="67"/>
    <n v="645"/>
    <n v="233"/>
    <n v="438"/>
    <n v="149"/>
    <n v="380"/>
    <n v="137"/>
  </r>
  <r>
    <s v="Antonee Robinson"/>
    <x v="15"/>
    <x v="1"/>
    <n v="4.9000000000000004"/>
    <n v="3"/>
    <n v="1"/>
    <n v="0.5"/>
    <n v="0"/>
    <n v="0"/>
    <n v="61"/>
    <n v="0"/>
    <n v="0"/>
    <n v="0"/>
    <n v="0"/>
    <n v="4.0999999999999996"/>
    <n v="0"/>
    <n v="0"/>
    <n v="0"/>
    <n v="0.6"/>
    <n v="0"/>
    <n v="0.08"/>
    <n v="0.08"/>
    <n v="0.23"/>
    <n v="0"/>
    <s v="Knee injury - Unknown return date"/>
    <n v="297"/>
    <n v="45"/>
    <n v="663"/>
    <n v="237"/>
    <n v="400"/>
    <n v="141"/>
    <n v="237"/>
    <n v="86"/>
  </r>
  <r>
    <s v="Diego Coppola"/>
    <x v="14"/>
    <x v="1"/>
    <n v="4.3"/>
    <n v="3"/>
    <n v="1"/>
    <n v="0.1"/>
    <n v="0"/>
    <n v="0"/>
    <n v="17"/>
    <n v="0"/>
    <n v="1"/>
    <n v="0"/>
    <n v="0"/>
    <n v="0.8"/>
    <n v="0.2"/>
    <n v="0"/>
    <n v="0"/>
    <n v="0.7"/>
    <n v="0"/>
    <n v="0"/>
    <n v="0"/>
    <n v="0.21"/>
    <n v="0"/>
    <s v="No News"/>
    <n v="602"/>
    <n v="153"/>
    <n v="349"/>
    <n v="119"/>
    <n v="379"/>
    <n v="136"/>
    <n v="564"/>
    <n v="203"/>
  </r>
  <r>
    <s v="Dwight McNeil"/>
    <x v="9"/>
    <x v="2"/>
    <n v="5.6"/>
    <n v="3"/>
    <n v="1"/>
    <n v="0.1"/>
    <n v="0"/>
    <n v="0"/>
    <n v="51"/>
    <n v="0"/>
    <n v="0"/>
    <n v="0"/>
    <n v="0"/>
    <n v="2"/>
    <n v="0.5"/>
    <n v="0"/>
    <n v="0.1"/>
    <n v="0.5"/>
    <n v="0.24"/>
    <n v="0"/>
    <n v="0.24"/>
    <n v="2.48"/>
    <n v="0"/>
    <s v="No News"/>
    <n v="130"/>
    <n v="83"/>
    <n v="336"/>
    <n v="165"/>
    <n v="424"/>
    <n v="203"/>
    <n v="428"/>
    <n v="148"/>
  </r>
  <r>
    <s v="Tyler Dibling"/>
    <x v="9"/>
    <x v="2"/>
    <n v="5.4"/>
    <n v="3"/>
    <n v="0.8"/>
    <n v="0"/>
    <n v="0"/>
    <n v="0"/>
    <n v="62"/>
    <n v="0"/>
    <n v="1"/>
    <n v="0"/>
    <n v="0"/>
    <n v="0.5"/>
    <n v="0"/>
    <n v="0"/>
    <n v="0"/>
    <n v="0.6"/>
    <n v="0"/>
    <n v="0"/>
    <n v="0"/>
    <n v="1.64"/>
    <n v="1"/>
    <s v="No News"/>
    <n v="180"/>
    <n v="112"/>
    <n v="717"/>
    <n v="311"/>
    <n v="439"/>
    <n v="208"/>
    <n v="645"/>
    <n v="266"/>
  </r>
  <r>
    <s v="Luis Guilherme L.Guilherme"/>
    <x v="16"/>
    <x v="2"/>
    <n v="4.9000000000000004"/>
    <n v="3"/>
    <n v="1"/>
    <n v="0"/>
    <n v="0"/>
    <n v="0"/>
    <n v="54"/>
    <n v="0"/>
    <n v="1"/>
    <n v="0"/>
    <n v="0"/>
    <n v="0.4"/>
    <n v="0"/>
    <n v="0"/>
    <n v="0"/>
    <n v="0.6"/>
    <n v="7.0000000000000007E-2"/>
    <n v="0"/>
    <n v="7.0000000000000007E-2"/>
    <n v="0.88"/>
    <n v="0"/>
    <s v="No News"/>
    <n v="344"/>
    <n v="218"/>
    <n v="677"/>
    <n v="283"/>
    <n v="406"/>
    <n v="191"/>
    <n v="656"/>
    <n v="273"/>
  </r>
  <r>
    <s v="Victor Lindelöf"/>
    <x v="12"/>
    <x v="1"/>
    <n v="4.5"/>
    <n v="3"/>
    <n v="1"/>
    <n v="0"/>
    <n v="0"/>
    <n v="0"/>
    <n v="21"/>
    <n v="0"/>
    <n v="0"/>
    <n v="0"/>
    <n v="0"/>
    <n v="0.4"/>
    <n v="0"/>
    <n v="0"/>
    <n v="0"/>
    <n v="0.7"/>
    <n v="0"/>
    <n v="0"/>
    <n v="0"/>
    <n v="0.64"/>
    <n v="0"/>
    <s v="No News"/>
    <n v="403"/>
    <n v="76"/>
    <n v="582"/>
    <n v="224"/>
    <n v="382"/>
    <n v="137"/>
    <n v="604"/>
    <n v="212"/>
  </r>
  <r>
    <s v="Oliver Sonne"/>
    <x v="11"/>
    <x v="1"/>
    <n v="3.9"/>
    <n v="3"/>
    <n v="1"/>
    <n v="0.1"/>
    <n v="0"/>
    <n v="0"/>
    <n v="102"/>
    <n v="0"/>
    <n v="4"/>
    <n v="0"/>
    <n v="0"/>
    <n v="3"/>
    <n v="0"/>
    <n v="0"/>
    <n v="0"/>
    <n v="0.8"/>
    <n v="0.03"/>
    <n v="0.08"/>
    <n v="0.11"/>
    <n v="3.31"/>
    <n v="1"/>
    <s v="No News"/>
    <n v="731"/>
    <n v="229"/>
    <n v="419"/>
    <n v="156"/>
    <n v="373"/>
    <n v="131"/>
    <n v="417"/>
    <n v="155"/>
  </r>
  <r>
    <s v="Marcus Edwards"/>
    <x v="11"/>
    <x v="2"/>
    <n v="4.7"/>
    <n v="3"/>
    <n v="1"/>
    <n v="0.1"/>
    <n v="0"/>
    <n v="0"/>
    <n v="22"/>
    <n v="0"/>
    <n v="1"/>
    <n v="0"/>
    <n v="0"/>
    <n v="2.6"/>
    <n v="0.5"/>
    <n v="0"/>
    <n v="0.1"/>
    <n v="0.6"/>
    <n v="0.1"/>
    <n v="0.01"/>
    <n v="0.11"/>
    <n v="1.01"/>
    <n v="0"/>
    <s v="No News"/>
    <n v="378"/>
    <n v="237"/>
    <n v="313"/>
    <n v="154"/>
    <n v="392"/>
    <n v="181"/>
    <n v="550"/>
    <n v="204"/>
  </r>
  <r>
    <s v="Guido G.Rodriguez"/>
    <x v="16"/>
    <x v="2"/>
    <n v="4.8"/>
    <n v="3"/>
    <n v="1.5"/>
    <n v="0"/>
    <n v="0"/>
    <n v="0"/>
    <n v="89"/>
    <n v="0"/>
    <n v="2"/>
    <n v="0"/>
    <n v="0"/>
    <n v="0.8"/>
    <n v="0.2"/>
    <n v="0"/>
    <n v="0"/>
    <n v="0.6"/>
    <n v="0.03"/>
    <n v="0.03"/>
    <n v="0.06"/>
    <n v="0.97"/>
    <n v="1"/>
    <s v="No News"/>
    <n v="354"/>
    <n v="225"/>
    <n v="362"/>
    <n v="171"/>
    <n v="327"/>
    <n v="152"/>
    <n v="579"/>
    <n v="218"/>
  </r>
  <r>
    <s v="Igor Julio Igor"/>
    <x v="16"/>
    <x v="1"/>
    <n v="4.5"/>
    <n v="3"/>
    <n v="1"/>
    <n v="0.1"/>
    <n v="0"/>
    <n v="0"/>
    <n v="13"/>
    <n v="0"/>
    <n v="1"/>
    <n v="0"/>
    <n v="0"/>
    <n v="1.3"/>
    <n v="0.5"/>
    <n v="0"/>
    <n v="0.1"/>
    <n v="0.7"/>
    <n v="0"/>
    <n v="0"/>
    <n v="0"/>
    <n v="0.61"/>
    <n v="0"/>
    <s v="No News"/>
    <n v="409"/>
    <n v="79"/>
    <n v="311"/>
    <n v="105"/>
    <n v="383"/>
    <n v="138"/>
    <n v="528"/>
    <n v="190"/>
  </r>
  <r>
    <s v="Jair Jair Cunha"/>
    <x v="18"/>
    <x v="1"/>
    <n v="4.3"/>
    <n v="3"/>
    <n v="3"/>
    <n v="0.1"/>
    <n v="0"/>
    <n v="0"/>
    <n v="90"/>
    <n v="0"/>
    <n v="2"/>
    <n v="0"/>
    <n v="0"/>
    <n v="2.6"/>
    <n v="0"/>
    <n v="0"/>
    <n v="0"/>
    <n v="0.7"/>
    <n v="0"/>
    <n v="0"/>
    <n v="0"/>
    <n v="3.28"/>
    <n v="1"/>
    <s v="No News"/>
    <n v="603"/>
    <n v="154"/>
    <n v="524"/>
    <n v="216"/>
    <n v="162"/>
    <n v="59"/>
    <n v="545"/>
    <n v="196"/>
  </r>
  <r>
    <s v="Callum Marshall"/>
    <x v="16"/>
    <x v="0"/>
    <n v="4.4000000000000004"/>
    <n v="2"/>
    <n v="1"/>
    <n v="0.7"/>
    <n v="0"/>
    <n v="0"/>
    <n v="58"/>
    <n v="0"/>
    <n v="2"/>
    <n v="0"/>
    <n v="0"/>
    <n v="0.8"/>
    <n v="0.2"/>
    <n v="0"/>
    <n v="0"/>
    <n v="0.5"/>
    <n v="0.13"/>
    <n v="0"/>
    <n v="0.13"/>
    <n v="1.55"/>
    <n v="0"/>
    <s v="No News"/>
    <n v="555"/>
    <n v="75"/>
    <n v="357"/>
    <n v="43"/>
    <n v="381"/>
    <n v="42"/>
    <n v="209"/>
    <n v="33"/>
  </r>
  <r>
    <s v="Séamus Coleman"/>
    <x v="9"/>
    <x v="1"/>
    <n v="4.3"/>
    <n v="2"/>
    <n v="1"/>
    <n v="0.1"/>
    <n v="0"/>
    <n v="0"/>
    <n v="2"/>
    <n v="0"/>
    <n v="0"/>
    <n v="0"/>
    <n v="0"/>
    <n v="0"/>
    <n v="0"/>
    <n v="0"/>
    <n v="0"/>
    <n v="0.5"/>
    <n v="0"/>
    <n v="0"/>
    <n v="0"/>
    <n v="0.24"/>
    <n v="0"/>
    <s v="No News"/>
    <n v="569"/>
    <n v="132"/>
    <n v="507"/>
    <n v="208"/>
    <n v="378"/>
    <n v="135"/>
    <n v="434"/>
    <n v="159"/>
  </r>
  <r>
    <s v="Nicolás Dominguez"/>
    <x v="18"/>
    <x v="2"/>
    <n v="5"/>
    <n v="2"/>
    <n v="0.7"/>
    <n v="0"/>
    <n v="0"/>
    <n v="0"/>
    <n v="110"/>
    <n v="0"/>
    <n v="2"/>
    <n v="0"/>
    <n v="0"/>
    <n v="6.3"/>
    <n v="0.5"/>
    <n v="0"/>
    <n v="0.1"/>
    <n v="0.4"/>
    <n v="0"/>
    <n v="0.15"/>
    <n v="0.15"/>
    <n v="0.52"/>
    <n v="2"/>
    <s v="No News"/>
    <n v="265"/>
    <n v="164"/>
    <n v="323"/>
    <n v="161"/>
    <n v="440"/>
    <n v="209"/>
    <n v="694"/>
    <n v="299"/>
  </r>
  <r>
    <s v="Piero Hincapie"/>
    <x v="1"/>
    <x v="1"/>
    <n v="5.4"/>
    <n v="2"/>
    <n v="1"/>
    <n v="0"/>
    <n v="0"/>
    <n v="0"/>
    <n v="26"/>
    <n v="0"/>
    <n v="0"/>
    <n v="0"/>
    <n v="0"/>
    <n v="0.1"/>
    <n v="0.5"/>
    <n v="0"/>
    <n v="0.1"/>
    <n v="0.4"/>
    <n v="0"/>
    <n v="0"/>
    <n v="0"/>
    <n v="0.41"/>
    <n v="0"/>
    <s v="No News"/>
    <n v="176"/>
    <n v="22"/>
    <n v="333"/>
    <n v="111"/>
    <n v="420"/>
    <n v="143"/>
    <n v="628"/>
    <n v="218"/>
  </r>
  <r>
    <s v="Matt Doherty"/>
    <x v="19"/>
    <x v="1"/>
    <n v="4.4000000000000004"/>
    <n v="2"/>
    <n v="0.5"/>
    <n v="0.1"/>
    <n v="0"/>
    <n v="0"/>
    <n v="291"/>
    <n v="0"/>
    <n v="6"/>
    <n v="0"/>
    <n v="0"/>
    <n v="7.6"/>
    <n v="0.5"/>
    <n v="0"/>
    <n v="0.1"/>
    <n v="0.5"/>
    <n v="7.0000000000000007E-2"/>
    <n v="0.05"/>
    <n v="0.12"/>
    <n v="5.09"/>
    <n v="4"/>
    <s v="Knee injury - Expected back 22 Nov"/>
    <n v="493"/>
    <n v="104"/>
    <n v="309"/>
    <n v="103"/>
    <n v="442"/>
    <n v="151"/>
    <n v="468"/>
    <n v="172"/>
  </r>
  <r>
    <s v="Reiss Nelson"/>
    <x v="4"/>
    <x v="2"/>
    <n v="4.8"/>
    <n v="2"/>
    <n v="1"/>
    <n v="0.1"/>
    <n v="0"/>
    <n v="0"/>
    <n v="16"/>
    <n v="0"/>
    <n v="0"/>
    <n v="0"/>
    <n v="0"/>
    <n v="2"/>
    <n v="0.5"/>
    <n v="0"/>
    <n v="0.1"/>
    <n v="0.4"/>
    <n v="0.06"/>
    <n v="0.05"/>
    <n v="0.11"/>
    <n v="0.04"/>
    <n v="0"/>
    <s v="No News"/>
    <n v="355"/>
    <n v="226"/>
    <n v="315"/>
    <n v="156"/>
    <n v="396"/>
    <n v="185"/>
    <n v="456"/>
    <n v="155"/>
  </r>
  <r>
    <s v="Christian Nørgaard"/>
    <x v="1"/>
    <x v="2"/>
    <n v="5.2"/>
    <n v="2"/>
    <n v="1"/>
    <n v="0.1"/>
    <n v="0"/>
    <n v="0"/>
    <n v="14"/>
    <n v="0"/>
    <n v="0"/>
    <n v="0"/>
    <n v="0"/>
    <n v="1.4"/>
    <n v="0.5"/>
    <n v="0"/>
    <n v="0.1"/>
    <n v="0.4"/>
    <n v="0.05"/>
    <n v="0"/>
    <n v="0.05"/>
    <n v="0.05"/>
    <n v="0"/>
    <s v="No News"/>
    <n v="213"/>
    <n v="132"/>
    <n v="325"/>
    <n v="163"/>
    <n v="411"/>
    <n v="195"/>
    <n v="407"/>
    <n v="138"/>
  </r>
  <r>
    <s v="Dan Neil"/>
    <x v="8"/>
    <x v="2"/>
    <n v="4.8"/>
    <n v="2"/>
    <n v="1"/>
    <n v="0"/>
    <n v="0"/>
    <n v="0"/>
    <n v="2"/>
    <n v="0"/>
    <n v="0"/>
    <n v="0"/>
    <n v="0"/>
    <n v="0.2"/>
    <n v="0.2"/>
    <n v="0"/>
    <n v="0"/>
    <n v="0.4"/>
    <n v="0"/>
    <n v="0"/>
    <n v="0"/>
    <n v="0.2"/>
    <n v="0"/>
    <s v="No News"/>
    <n v="361"/>
    <n v="228"/>
    <n v="364"/>
    <n v="172"/>
    <n v="398"/>
    <n v="186"/>
    <n v="622"/>
    <n v="251"/>
  </r>
  <r>
    <s v="Tom Watson"/>
    <x v="14"/>
    <x v="2"/>
    <n v="4.9000000000000004"/>
    <n v="2"/>
    <n v="1"/>
    <n v="0"/>
    <n v="0"/>
    <n v="0"/>
    <n v="40"/>
    <n v="0"/>
    <n v="2"/>
    <n v="0"/>
    <n v="0"/>
    <n v="1.4"/>
    <n v="0.5"/>
    <n v="0"/>
    <n v="0.1"/>
    <n v="0.4"/>
    <n v="0.04"/>
    <n v="0.01"/>
    <n v="0.05"/>
    <n v="0.89"/>
    <n v="0"/>
    <s v="No News"/>
    <n v="342"/>
    <n v="216"/>
    <n v="319"/>
    <n v="159"/>
    <n v="404"/>
    <n v="189"/>
    <n v="626"/>
    <n v="254"/>
  </r>
  <r>
    <s v="Jenson Seelt"/>
    <x v="8"/>
    <x v="1"/>
    <n v="4"/>
    <n v="2"/>
    <n v="1"/>
    <n v="0.1"/>
    <n v="0"/>
    <n v="0"/>
    <n v="133"/>
    <n v="0"/>
    <n v="2"/>
    <n v="0"/>
    <n v="0"/>
    <n v="3.6"/>
    <n v="0"/>
    <n v="0"/>
    <n v="0"/>
    <n v="0.5"/>
    <n v="0"/>
    <n v="0.01"/>
    <n v="0.01"/>
    <n v="1.33"/>
    <n v="1"/>
    <s v="has joined Wolfsburg on loan for the rest of the season."/>
    <n v="673"/>
    <n v="189"/>
    <n v="481"/>
    <n v="190"/>
    <n v="375"/>
    <n v="133"/>
    <n v="448"/>
    <n v="163"/>
  </r>
  <r>
    <s v="Dominic Solanke"/>
    <x v="7"/>
    <x v="0"/>
    <n v="7.2"/>
    <n v="2"/>
    <n v="1"/>
    <n v="0.9"/>
    <n v="0"/>
    <n v="0"/>
    <n v="31"/>
    <n v="0"/>
    <n v="0"/>
    <n v="0"/>
    <n v="0"/>
    <n v="3.1"/>
    <n v="0"/>
    <n v="0"/>
    <n v="0"/>
    <n v="0.3"/>
    <n v="0.2"/>
    <n v="0"/>
    <n v="0.2"/>
    <n v="0.22"/>
    <n v="0"/>
    <s v="Ankle injury - Expected back 23 Nov"/>
    <n v="31"/>
    <n v="14"/>
    <n v="744"/>
    <n v="81"/>
    <n v="430"/>
    <n v="53"/>
    <n v="186"/>
    <n v="28"/>
  </r>
  <r>
    <s v="Mateo Kovačić"/>
    <x v="0"/>
    <x v="2"/>
    <n v="5.9"/>
    <n v="1"/>
    <n v="1"/>
    <n v="0"/>
    <n v="0"/>
    <n v="0"/>
    <n v="4"/>
    <n v="0"/>
    <n v="0"/>
    <n v="0"/>
    <n v="0"/>
    <n v="0.3"/>
    <n v="0.2"/>
    <n v="0"/>
    <n v="0"/>
    <n v="0.2"/>
    <n v="0"/>
    <n v="0"/>
    <n v="0"/>
    <n v="0"/>
    <n v="0"/>
    <s v="Ankle injury - Unknown return date"/>
    <n v="92"/>
    <n v="61"/>
    <n v="380"/>
    <n v="180"/>
    <n v="427"/>
    <n v="205"/>
    <n v="642"/>
    <n v="264"/>
  </r>
  <r>
    <s v="Yerson Mosquera"/>
    <x v="19"/>
    <x v="1"/>
    <n v="4.3"/>
    <n v="1"/>
    <n v="0.2"/>
    <n v="0.1"/>
    <n v="0"/>
    <n v="0"/>
    <n v="182"/>
    <n v="0"/>
    <n v="6"/>
    <n v="0"/>
    <n v="0"/>
    <n v="4.2"/>
    <n v="-0.8"/>
    <n v="0"/>
    <n v="-0.2"/>
    <n v="0.2"/>
    <n v="0.05"/>
    <n v="0"/>
    <n v="0.05"/>
    <n v="2.92"/>
    <n v="2"/>
    <s v="No News"/>
    <n v="598"/>
    <n v="150"/>
    <n v="751"/>
    <n v="248"/>
    <n v="445"/>
    <n v="154"/>
    <n v="567"/>
    <n v="205"/>
  </r>
  <r>
    <s v="Saša Kalajdžić"/>
    <x v="19"/>
    <x v="0"/>
    <n v="4.9000000000000004"/>
    <n v="1"/>
    <n v="1"/>
    <n v="0.1"/>
    <n v="0"/>
    <n v="0"/>
    <n v="14"/>
    <n v="0"/>
    <n v="0"/>
    <n v="0"/>
    <n v="0"/>
    <n v="0.7"/>
    <n v="0"/>
    <n v="0"/>
    <n v="0"/>
    <n v="0.2"/>
    <n v="0"/>
    <n v="0.01"/>
    <n v="0.01"/>
    <n v="0.1"/>
    <n v="0"/>
    <s v="has joined LASK on loan for the rest of the season."/>
    <n v="318"/>
    <n v="55"/>
    <n v="668"/>
    <n v="70"/>
    <n v="402"/>
    <n v="45"/>
    <n v="555"/>
    <n v="73"/>
  </r>
  <r>
    <s v="Arthur Masuaku"/>
    <x v="8"/>
    <x v="1"/>
    <n v="3.9"/>
    <n v="1"/>
    <n v="0.3"/>
    <n v="0.7"/>
    <n v="0"/>
    <n v="0"/>
    <n v="125"/>
    <n v="0"/>
    <n v="2"/>
    <n v="0"/>
    <n v="0"/>
    <n v="4.9000000000000004"/>
    <n v="0"/>
    <n v="0"/>
    <n v="0"/>
    <n v="0.3"/>
    <n v="7.0000000000000007E-2"/>
    <n v="0.08"/>
    <n v="0.15"/>
    <n v="2.09"/>
    <n v="2"/>
    <s v="No News"/>
    <n v="700"/>
    <n v="208"/>
    <n v="391"/>
    <n v="138"/>
    <n v="444"/>
    <n v="153"/>
    <n v="195"/>
    <n v="74"/>
  </r>
  <r>
    <s v="Ollie Scarles"/>
    <x v="16"/>
    <x v="1"/>
    <n v="4.4000000000000004"/>
    <n v="1"/>
    <n v="0.5"/>
    <n v="0"/>
    <n v="0"/>
    <n v="0"/>
    <n v="69"/>
    <n v="0"/>
    <n v="3"/>
    <n v="0"/>
    <n v="0"/>
    <n v="0.9"/>
    <n v="0.2"/>
    <n v="0"/>
    <n v="0"/>
    <n v="0.2"/>
    <n v="0"/>
    <n v="0.01"/>
    <n v="0.01"/>
    <n v="2.14"/>
    <n v="2"/>
    <s v="Shoulder injury - Expected back 27 Dec"/>
    <n v="544"/>
    <n v="130"/>
    <n v="356"/>
    <n v="126"/>
    <n v="443"/>
    <n v="152"/>
    <n v="623"/>
    <n v="217"/>
  </r>
  <r>
    <s v="Jamaal Lascelles"/>
    <x v="13"/>
    <x v="1"/>
    <n v="4.3"/>
    <n v="1"/>
    <n v="0.5"/>
    <n v="0.1"/>
    <n v="0"/>
    <n v="0"/>
    <n v="19"/>
    <n v="0"/>
    <n v="2"/>
    <n v="0"/>
    <n v="0"/>
    <n v="1.7"/>
    <n v="0"/>
    <n v="0"/>
    <n v="0"/>
    <n v="0.2"/>
    <n v="0.04"/>
    <n v="0"/>
    <n v="0.04"/>
    <n v="0.55000000000000004"/>
    <n v="0"/>
    <s v="No News"/>
    <n v="572"/>
    <n v="133"/>
    <n v="509"/>
    <n v="209"/>
    <n v="441"/>
    <n v="150"/>
    <n v="537"/>
    <n v="193"/>
  </r>
  <r>
    <s v="Patrick Roberts"/>
    <x v="8"/>
    <x v="2"/>
    <n v="5.4"/>
    <n v="1"/>
    <n v="1"/>
    <n v="0"/>
    <n v="0"/>
    <n v="0"/>
    <n v="27"/>
    <n v="0"/>
    <n v="1"/>
    <n v="0"/>
    <n v="0"/>
    <n v="1.4"/>
    <n v="0"/>
    <n v="0"/>
    <n v="0"/>
    <n v="0.2"/>
    <n v="0.03"/>
    <n v="0.02"/>
    <n v="0.05"/>
    <n v="0.66"/>
    <n v="0"/>
    <s v="has joined Birmingham City on loan for the rest of the season."/>
    <n v="160"/>
    <n v="99"/>
    <n v="709"/>
    <n v="305"/>
    <n v="417"/>
    <n v="199"/>
    <n v="678"/>
    <n v="288"/>
  </r>
  <r>
    <s v="João Pedro Jota"/>
    <x v="18"/>
    <x v="2"/>
    <n v="5.4"/>
    <n v="1"/>
    <n v="1"/>
    <n v="0"/>
    <n v="0"/>
    <n v="0"/>
    <n v="11"/>
    <n v="0"/>
    <n v="0"/>
    <n v="0"/>
    <n v="0"/>
    <n v="1"/>
    <n v="0"/>
    <n v="0"/>
    <n v="0"/>
    <n v="0.2"/>
    <n v="0"/>
    <n v="0"/>
    <n v="0"/>
    <n v="0"/>
    <n v="0"/>
    <s v="has joined Besiktas on loan for the rest of the season."/>
    <n v="183"/>
    <n v="114"/>
    <n v="718"/>
    <n v="312"/>
    <n v="422"/>
    <n v="202"/>
    <n v="588"/>
    <n v="226"/>
  </r>
  <r>
    <s v="Mateus Mané"/>
    <x v="19"/>
    <x v="0"/>
    <n v="4.5"/>
    <n v="1"/>
    <n v="1"/>
    <n v="0"/>
    <n v="0"/>
    <n v="0"/>
    <n v="20"/>
    <n v="0"/>
    <n v="1"/>
    <n v="0"/>
    <n v="0"/>
    <n v="1"/>
    <n v="1"/>
    <n v="0"/>
    <n v="0.2"/>
    <n v="0.2"/>
    <n v="0"/>
    <n v="0.01"/>
    <n v="0.01"/>
    <n v="1.37"/>
    <n v="0"/>
    <s v="No News"/>
    <n v="489"/>
    <n v="67"/>
    <n v="267"/>
    <n v="29"/>
    <n v="391"/>
    <n v="44"/>
    <n v="736"/>
    <n v="83"/>
  </r>
  <r>
    <s v="Lucas Lucas Pires"/>
    <x v="11"/>
    <x v="1"/>
    <n v="3.9"/>
    <n v="1"/>
    <n v="1"/>
    <n v="0.2"/>
    <n v="0"/>
    <n v="0"/>
    <n v="9"/>
    <n v="0"/>
    <n v="1"/>
    <n v="0"/>
    <n v="0"/>
    <n v="1.9"/>
    <n v="0.2"/>
    <n v="0"/>
    <n v="0.1"/>
    <n v="0.3"/>
    <n v="0"/>
    <n v="7.0000000000000007E-2"/>
    <n v="7.0000000000000007E-2"/>
    <n v="0.96"/>
    <n v="0"/>
    <s v="No News"/>
    <n v="738"/>
    <n v="236"/>
    <n v="340"/>
    <n v="113"/>
    <n v="374"/>
    <n v="132"/>
    <n v="389"/>
    <n v="142"/>
  </r>
  <r>
    <s v="Nathaniel Clyne"/>
    <x v="3"/>
    <x v="1"/>
    <n v="3.9"/>
    <n v="1"/>
    <n v="1"/>
    <n v="0.4"/>
    <n v="0"/>
    <n v="0"/>
    <n v="4"/>
    <n v="0"/>
    <n v="0"/>
    <n v="0"/>
    <n v="0"/>
    <n v="0.4"/>
    <n v="0"/>
    <n v="0"/>
    <n v="0"/>
    <n v="0.3"/>
    <n v="0"/>
    <n v="0"/>
    <n v="0"/>
    <n v="0"/>
    <n v="0"/>
    <s v="No News"/>
    <n v="697"/>
    <n v="206"/>
    <n v="388"/>
    <n v="136"/>
    <n v="369"/>
    <n v="127"/>
    <n v="248"/>
    <n v="90"/>
  </r>
  <r>
    <s v="Ben Winterburn"/>
    <x v="2"/>
    <x v="2"/>
    <n v="4.5"/>
    <n v="1"/>
    <n v="1"/>
    <n v="0"/>
    <n v="0"/>
    <n v="0"/>
    <n v="6"/>
    <n v="0"/>
    <n v="2"/>
    <n v="0"/>
    <n v="0"/>
    <n v="0"/>
    <n v="0"/>
    <n v="0"/>
    <n v="0"/>
    <n v="0.2"/>
    <n v="0"/>
    <n v="0"/>
    <n v="0"/>
    <n v="0.31"/>
    <n v="0"/>
    <s v="has joined Barnet on loan for the rest of the season."/>
    <n v="477"/>
    <n v="289"/>
    <n v="634"/>
    <n v="257"/>
    <n v="387"/>
    <n v="178"/>
    <n v="602"/>
    <n v="238"/>
  </r>
  <r>
    <s v="Filip Jörgensen"/>
    <x v="5"/>
    <x v="3"/>
    <n v="4.4000000000000004"/>
    <n v="1"/>
    <n v="1"/>
    <n v="0.2"/>
    <n v="0"/>
    <n v="0"/>
    <n v="84"/>
    <n v="0"/>
    <n v="2"/>
    <n v="1"/>
    <n v="0"/>
    <n v="0.9"/>
    <n v="0"/>
    <n v="0"/>
    <n v="0"/>
    <n v="0.2"/>
    <n v="0"/>
    <n v="0"/>
    <n v="0"/>
    <n v="1.79"/>
    <n v="0"/>
    <s v="No News"/>
    <n v="538"/>
    <n v="29"/>
    <n v="552"/>
    <n v="76"/>
    <n v="380"/>
    <n v="28"/>
    <n v="381"/>
    <n v="57"/>
  </r>
  <r>
    <s v="Facundo Buonanotte"/>
    <x v="5"/>
    <x v="2"/>
    <n v="4.7"/>
    <n v="1"/>
    <n v="1"/>
    <n v="0.1"/>
    <n v="0"/>
    <n v="0"/>
    <n v="45"/>
    <n v="0"/>
    <n v="1"/>
    <n v="0"/>
    <n v="0"/>
    <n v="3.9"/>
    <n v="0"/>
    <n v="0"/>
    <n v="0"/>
    <n v="0.2"/>
    <n v="0"/>
    <n v="0.09"/>
    <n v="0.09"/>
    <n v="0.55000000000000004"/>
    <n v="1"/>
    <s v="No News"/>
    <n v="385"/>
    <n v="241"/>
    <n v="644"/>
    <n v="265"/>
    <n v="394"/>
    <n v="183"/>
    <n v="482"/>
    <n v="167"/>
  </r>
  <r>
    <s v="Nehemiah Oriola"/>
    <x v="14"/>
    <x v="2"/>
    <n v="4.5"/>
    <n v="1"/>
    <n v="1"/>
    <n v="0"/>
    <n v="0"/>
    <n v="0"/>
    <n v="1"/>
    <n v="0"/>
    <n v="0"/>
    <n v="0"/>
    <n v="0"/>
    <n v="0"/>
    <n v="0.2"/>
    <n v="0"/>
    <n v="0"/>
    <n v="0.2"/>
    <n v="0"/>
    <n v="0"/>
    <n v="0"/>
    <n v="0"/>
    <n v="0"/>
    <s v="No News"/>
    <n v="455"/>
    <n v="273"/>
    <n v="358"/>
    <n v="168"/>
    <n v="385"/>
    <n v="176"/>
    <n v="717"/>
    <n v="314"/>
  </r>
  <r>
    <s v="Julio Soler"/>
    <x v="2"/>
    <x v="1"/>
    <n v="4"/>
    <n v="1"/>
    <n v="1"/>
    <n v="0.2"/>
    <n v="0"/>
    <n v="0"/>
    <n v="1"/>
    <n v="0"/>
    <n v="0"/>
    <n v="0"/>
    <n v="0"/>
    <n v="0"/>
    <n v="0"/>
    <n v="0"/>
    <n v="0"/>
    <n v="0.2"/>
    <n v="0"/>
    <n v="0"/>
    <n v="0"/>
    <n v="0"/>
    <n v="0"/>
    <s v="No News"/>
    <n v="684"/>
    <n v="195"/>
    <n v="492"/>
    <n v="196"/>
    <n v="376"/>
    <n v="134"/>
    <n v="352"/>
    <n v="126"/>
  </r>
  <r>
    <s v="Jonah Kusi-Asare"/>
    <x v="15"/>
    <x v="0"/>
    <n v="4.5"/>
    <n v="1"/>
    <n v="1"/>
    <n v="0.1"/>
    <n v="0"/>
    <n v="0"/>
    <n v="1"/>
    <n v="0"/>
    <n v="0"/>
    <n v="0"/>
    <n v="0"/>
    <n v="0"/>
    <n v="0.2"/>
    <n v="0"/>
    <n v="0"/>
    <n v="0.2"/>
    <n v="0"/>
    <n v="0"/>
    <n v="0"/>
    <n v="0.02"/>
    <n v="0"/>
    <s v="No News"/>
    <n v="486"/>
    <n v="66"/>
    <n v="361"/>
    <n v="44"/>
    <n v="389"/>
    <n v="43"/>
    <n v="529"/>
    <n v="72"/>
  </r>
  <r>
    <s v="Joe Knight"/>
    <x v="14"/>
    <x v="2"/>
    <n v="4.5"/>
    <n v="1"/>
    <n v="1"/>
    <n v="0.1"/>
    <n v="0"/>
    <n v="0"/>
    <n v="1"/>
    <n v="0"/>
    <n v="0"/>
    <n v="0"/>
    <n v="0"/>
    <n v="0"/>
    <n v="0.2"/>
    <n v="0"/>
    <n v="0"/>
    <n v="0.2"/>
    <n v="0"/>
    <n v="0"/>
    <n v="0"/>
    <n v="0"/>
    <n v="0"/>
    <s v="No News"/>
    <n v="459"/>
    <n v="276"/>
    <n v="359"/>
    <n v="169"/>
    <n v="386"/>
    <n v="177"/>
    <n v="487"/>
    <n v="170"/>
  </r>
  <r>
    <s v="Sam Byram"/>
    <x v="17"/>
    <x v="1"/>
    <n v="3.9"/>
    <n v="1"/>
    <n v="1"/>
    <n v="0.2"/>
    <n v="0"/>
    <n v="0"/>
    <n v="7"/>
    <n v="0"/>
    <n v="1"/>
    <n v="0"/>
    <n v="0"/>
    <n v="0"/>
    <n v="0"/>
    <n v="0"/>
    <n v="0"/>
    <n v="0.3"/>
    <n v="0"/>
    <n v="0"/>
    <n v="0"/>
    <n v="0.79"/>
    <n v="0"/>
    <s v="No News"/>
    <n v="701"/>
    <n v="209"/>
    <n v="392"/>
    <n v="139"/>
    <n v="370"/>
    <n v="128"/>
    <n v="347"/>
    <n v="123"/>
  </r>
  <r>
    <s v="Harrison Armstrong"/>
    <x v="9"/>
    <x v="2"/>
    <n v="4.5"/>
    <n v="1"/>
    <n v="1"/>
    <n v="0.1"/>
    <n v="0"/>
    <n v="0"/>
    <n v="1"/>
    <n v="0"/>
    <n v="0"/>
    <n v="0"/>
    <n v="0"/>
    <n v="0"/>
    <n v="0"/>
    <n v="0"/>
    <n v="0"/>
    <n v="0.2"/>
    <n v="0"/>
    <n v="0"/>
    <n v="0"/>
    <n v="0"/>
    <n v="0"/>
    <s v="has joined Preston North End on loan for the rest of the season."/>
    <n v="479"/>
    <n v="290"/>
    <n v="635"/>
    <n v="258"/>
    <n v="388"/>
    <n v="179"/>
    <n v="559"/>
    <n v="207"/>
  </r>
  <r>
    <s v="Enes Enes Ünal"/>
    <x v="2"/>
    <x v="0"/>
    <n v="5.4"/>
    <n v="1"/>
    <n v="1"/>
    <n v="0"/>
    <n v="0"/>
    <n v="0"/>
    <n v="1"/>
    <n v="0"/>
    <n v="0"/>
    <n v="0"/>
    <n v="0"/>
    <n v="0"/>
    <n v="0.2"/>
    <n v="0"/>
    <n v="0"/>
    <n v="0.2"/>
    <n v="0"/>
    <n v="0"/>
    <n v="0"/>
    <n v="0"/>
    <n v="0"/>
    <s v="No News"/>
    <n v="161"/>
    <n v="40"/>
    <n v="375"/>
    <n v="45"/>
    <n v="418"/>
    <n v="49"/>
    <n v="650"/>
    <n v="80"/>
  </r>
  <r>
    <s v="Kai Havertz"/>
    <x v="1"/>
    <x v="0"/>
    <n v="7.3"/>
    <n v="1"/>
    <n v="1"/>
    <n v="0.3"/>
    <n v="0"/>
    <n v="0"/>
    <n v="30"/>
    <n v="0"/>
    <n v="0"/>
    <n v="0"/>
    <n v="0"/>
    <n v="0.6"/>
    <n v="0"/>
    <n v="0"/>
    <n v="0"/>
    <n v="0.1"/>
    <n v="0"/>
    <n v="0.01"/>
    <n v="0.01"/>
    <n v="0.82"/>
    <n v="0"/>
    <s v="Knee injury - Expected back 23 Nov"/>
    <n v="27"/>
    <n v="11"/>
    <n v="746"/>
    <n v="83"/>
    <n v="431"/>
    <n v="54"/>
    <n v="291"/>
    <n v="46"/>
  </r>
  <r>
    <s v="Borna Sosa"/>
    <x v="3"/>
    <x v="1"/>
    <n v="4.8"/>
    <n v="1"/>
    <n v="1"/>
    <n v="0.1"/>
    <n v="0"/>
    <n v="0"/>
    <n v="1"/>
    <n v="0"/>
    <n v="0"/>
    <n v="0"/>
    <n v="0"/>
    <n v="0"/>
    <n v="0.2"/>
    <n v="0"/>
    <n v="0"/>
    <n v="0.2"/>
    <n v="0"/>
    <n v="0"/>
    <n v="0"/>
    <n v="0"/>
    <n v="0"/>
    <s v="No News"/>
    <n v="359"/>
    <n v="60"/>
    <n v="363"/>
    <n v="127"/>
    <n v="397"/>
    <n v="140"/>
    <n v="443"/>
    <n v="160"/>
  </r>
  <r>
    <s v="Antoni Milambo"/>
    <x v="4"/>
    <x v="2"/>
    <n v="5.2"/>
    <n v="1"/>
    <n v="1"/>
    <n v="0"/>
    <n v="0"/>
    <n v="0"/>
    <n v="45"/>
    <n v="0"/>
    <n v="3"/>
    <n v="0"/>
    <n v="0"/>
    <n v="0.6"/>
    <n v="0"/>
    <n v="0"/>
    <n v="0"/>
    <n v="0.2"/>
    <n v="0"/>
    <n v="0.01"/>
    <n v="0.01"/>
    <n v="1.49"/>
    <n v="1"/>
    <s v="Knee injury - Expected back 01 Jun"/>
    <n v="228"/>
    <n v="141"/>
    <n v="702"/>
    <n v="302"/>
    <n v="415"/>
    <n v="197"/>
    <n v="615"/>
    <n v="246"/>
  </r>
  <r>
    <s v="Bradley Burrowes"/>
    <x v="12"/>
    <x v="2"/>
    <n v="4.5"/>
    <n v="1"/>
    <n v="1"/>
    <n v="0.1"/>
    <n v="0"/>
    <n v="0"/>
    <n v="16"/>
    <n v="0"/>
    <n v="1"/>
    <n v="0"/>
    <n v="0"/>
    <n v="0"/>
    <n v="0"/>
    <n v="0"/>
    <n v="0"/>
    <n v="0.2"/>
    <n v="0"/>
    <n v="0"/>
    <n v="0"/>
    <n v="0.9"/>
    <n v="0"/>
    <s v="No News"/>
    <n v="487"/>
    <n v="296"/>
    <n v="640"/>
    <n v="263"/>
    <n v="390"/>
    <n v="180"/>
    <n v="515"/>
    <n v="182"/>
  </r>
  <r>
    <s v="Odsonne Édouard"/>
    <x v="3"/>
    <x v="0"/>
    <n v="5"/>
    <n v="1"/>
    <n v="1"/>
    <n v="0.2"/>
    <n v="0"/>
    <n v="0"/>
    <n v="2"/>
    <n v="0"/>
    <n v="0"/>
    <n v="0"/>
    <n v="0"/>
    <n v="0.2"/>
    <n v="0"/>
    <n v="0"/>
    <n v="0"/>
    <n v="0.2"/>
    <n v="0"/>
    <n v="0"/>
    <n v="0"/>
    <n v="0.27"/>
    <n v="0"/>
    <s v="has joined RC Lens permanently."/>
    <n v="250"/>
    <n v="50"/>
    <n v="683"/>
    <n v="73"/>
    <n v="407"/>
    <n v="46"/>
    <n v="335"/>
    <n v="54"/>
  </r>
  <r>
    <s v="Ashley Barnes"/>
    <x v="11"/>
    <x v="0"/>
    <n v="4.3"/>
    <n v="1"/>
    <n v="1"/>
    <n v="1.3"/>
    <n v="0"/>
    <n v="0"/>
    <n v="7"/>
    <n v="0"/>
    <n v="0"/>
    <n v="0"/>
    <n v="0"/>
    <n v="0.1"/>
    <n v="0.2"/>
    <n v="0"/>
    <n v="0"/>
    <n v="0.2"/>
    <n v="0"/>
    <n v="0"/>
    <n v="0"/>
    <n v="0.34"/>
    <n v="0"/>
    <s v="No News"/>
    <n v="567"/>
    <n v="79"/>
    <n v="346"/>
    <n v="42"/>
    <n v="377"/>
    <n v="41"/>
    <n v="160"/>
    <n v="23"/>
  </r>
  <r>
    <s v="Romain Esse"/>
    <x v="3"/>
    <x v="2"/>
    <n v="4.7"/>
    <n v="1"/>
    <n v="1"/>
    <n v="0.1"/>
    <n v="0"/>
    <n v="0"/>
    <n v="24"/>
    <n v="0"/>
    <n v="0"/>
    <n v="0"/>
    <n v="0"/>
    <n v="0.7"/>
    <n v="0"/>
    <n v="0"/>
    <n v="0"/>
    <n v="0.2"/>
    <n v="0"/>
    <n v="0.01"/>
    <n v="0.01"/>
    <n v="0.27"/>
    <n v="0"/>
    <s v="No News"/>
    <n v="387"/>
    <n v="242"/>
    <n v="646"/>
    <n v="266"/>
    <n v="395"/>
    <n v="184"/>
    <n v="408"/>
    <n v="139"/>
  </r>
  <r>
    <s v="Norberto Neto"/>
    <x v="2"/>
    <x v="3"/>
    <n v="4.5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Botafogo permanently."/>
    <n v="392"/>
    <n v="21"/>
    <n v="578"/>
    <n v="79"/>
    <n v="623"/>
    <n v="82"/>
    <n v="518"/>
    <n v="77"/>
  </r>
  <r>
    <s v="Radu Dragusin"/>
    <x v="7"/>
    <x v="1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nee injury - Unknown return date"/>
    <n v="437"/>
    <n v="92"/>
    <n v="602"/>
    <n v="229"/>
    <n v="645"/>
    <n v="238"/>
    <n v="721"/>
    <n v="242"/>
  </r>
  <r>
    <s v="Will Dennis"/>
    <x v="2"/>
    <x v="3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46"/>
    <n v="58"/>
    <n v="460"/>
    <n v="52"/>
    <n v="517"/>
    <n v="59"/>
    <n v="182"/>
    <n v="26"/>
  </r>
  <r>
    <s v="Ben Davies"/>
    <x v="7"/>
    <x v="1"/>
    <n v="4.3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mstring injury - Unknown return date"/>
    <n v="576"/>
    <n v="137"/>
    <n v="512"/>
    <n v="212"/>
    <n v="563"/>
    <n v="224"/>
    <n v="522"/>
    <n v="189"/>
  </r>
  <r>
    <s v="Luis Sinisterra"/>
    <x v="2"/>
    <x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Cruzeiro on loan for the rest of the season."/>
    <n v="259"/>
    <n v="160"/>
    <n v="684"/>
    <n v="288"/>
    <n v="710"/>
    <n v="305"/>
    <n v="693"/>
    <n v="298"/>
  </r>
  <r>
    <s v="Mikey Moore"/>
    <x v="7"/>
    <x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Rangers on loan for the rest of the season."/>
    <n v="277"/>
    <n v="171"/>
    <n v="692"/>
    <n v="295"/>
    <n v="718"/>
    <n v="312"/>
    <n v="731"/>
    <n v="321"/>
  </r>
  <r>
    <s v="Dejan Kulusevski"/>
    <x v="7"/>
    <x v="2"/>
    <n v="6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nee injury - Unknown return date"/>
    <n v="65"/>
    <n v="43"/>
    <n v="738"/>
    <n v="327"/>
    <n v="745"/>
    <n v="330"/>
    <n v="687"/>
    <n v="294"/>
  </r>
  <r>
    <s v="Bryan Bryan"/>
    <x v="7"/>
    <x v="2"/>
    <n v="4.9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Girona permanently."/>
    <n v="321"/>
    <n v="202"/>
    <n v="670"/>
    <n v="279"/>
    <n v="699"/>
    <n v="297"/>
    <n v="624"/>
    <n v="252"/>
  </r>
  <r>
    <s v="Romain Faivre"/>
    <x v="2"/>
    <x v="2"/>
    <n v="4.5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Al Taawoun permanently."/>
    <n v="422"/>
    <n v="251"/>
    <n v="591"/>
    <n v="223"/>
    <n v="634"/>
    <n v="249"/>
    <n v="503"/>
    <n v="177"/>
  </r>
  <r>
    <s v="Dominic Sadi"/>
    <x v="2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Novi Pazar on loan for the rest of the season."/>
    <n v="451"/>
    <n v="271"/>
    <n v="612"/>
    <n v="242"/>
    <n v="655"/>
    <n v="268"/>
    <n v="598"/>
    <n v="235"/>
  </r>
  <r>
    <s v="Antonín Kinsky"/>
    <x v="7"/>
    <x v="3"/>
    <n v="3.9"/>
    <n v="0"/>
    <n v="0"/>
    <n v="1.9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21"/>
    <n v="83"/>
    <n v="409"/>
    <n v="31"/>
    <n v="467"/>
    <n v="38"/>
    <n v="130"/>
    <n v="18"/>
  </r>
  <r>
    <s v="Brandon Austin"/>
    <x v="7"/>
    <x v="3"/>
    <n v="3.9"/>
    <n v="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06"/>
    <n v="78"/>
    <n v="396"/>
    <n v="26"/>
    <n v="454"/>
    <n v="33"/>
    <n v="298"/>
    <n v="41"/>
  </r>
  <r>
    <s v="Zain Silcott-Duberry"/>
    <x v="2"/>
    <x v="2"/>
    <n v="4.400000000000000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Olympiakos permanently."/>
    <n v="541"/>
    <n v="312"/>
    <n v="555"/>
    <n v="200"/>
    <n v="600"/>
    <n v="227"/>
    <n v="497"/>
    <n v="175"/>
  </r>
  <r>
    <s v="Philip Philip"/>
    <x v="2"/>
    <x v="2"/>
    <n v="4.9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Midtjylland permanently."/>
    <n v="296"/>
    <n v="187"/>
    <n v="662"/>
    <n v="274"/>
    <n v="693"/>
    <n v="292"/>
    <n v="640"/>
    <n v="262"/>
  </r>
  <r>
    <s v="Manor Solomon"/>
    <x v="7"/>
    <x v="2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Villarreal CF on loan for the rest of the season."/>
    <n v="168"/>
    <n v="103"/>
    <n v="712"/>
    <n v="307"/>
    <n v="729"/>
    <n v="318"/>
    <n v="710"/>
    <n v="308"/>
  </r>
  <r>
    <s v="Matai Akinmboni"/>
    <x v="2"/>
    <x v="1"/>
    <n v="3.9"/>
    <n v="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Muscle injury - 25% chance of playing"/>
    <n v="733"/>
    <n v="231"/>
    <n v="421"/>
    <n v="158"/>
    <n v="478"/>
    <n v="175"/>
    <n v="331"/>
    <n v="116"/>
  </r>
  <r>
    <s v="Chris Mepham"/>
    <x v="2"/>
    <x v="1"/>
    <n v="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West Bromwich Albion permanently."/>
    <n v="637"/>
    <n v="167"/>
    <n v="453"/>
    <n v="176"/>
    <n v="510"/>
    <n v="193"/>
    <n v="489"/>
    <n v="178"/>
  </r>
  <r>
    <s v="Callan McKenna"/>
    <x v="2"/>
    <x v="3"/>
    <n v="4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82"/>
    <n v="72"/>
    <n v="490"/>
    <n v="66"/>
    <n v="546"/>
    <n v="73"/>
    <n v="361"/>
    <n v="55"/>
  </r>
  <r>
    <s v="Ashley Phillips"/>
    <x v="7"/>
    <x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Stoke City on loan for the rest of the season."/>
    <n v="675"/>
    <n v="190"/>
    <n v="483"/>
    <n v="191"/>
    <n v="539"/>
    <n v="207"/>
    <n v="680"/>
    <n v="231"/>
  </r>
  <r>
    <s v="Yves Bissouma"/>
    <x v="7"/>
    <x v="2"/>
    <n v="5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kle injury - Unknown return date"/>
    <n v="218"/>
    <n v="136"/>
    <n v="699"/>
    <n v="300"/>
    <n v="723"/>
    <n v="315"/>
    <n v="592"/>
    <n v="230"/>
  </r>
  <r>
    <s v="Takai Takai"/>
    <x v="7"/>
    <x v="1"/>
    <n v="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Thigh injury - Expected back 23 Nov"/>
    <n v="678"/>
    <n v="191"/>
    <n v="486"/>
    <n v="192"/>
    <n v="542"/>
    <n v="208"/>
    <n v="560"/>
    <n v="201"/>
  </r>
  <r>
    <s v="Luka Vuskovic"/>
    <x v="7"/>
    <x v="1"/>
    <n v="3.9"/>
    <n v="0"/>
    <n v="0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Hamburger SV on loan for the rest of the season."/>
    <n v="747"/>
    <n v="244"/>
    <n v="433"/>
    <n v="169"/>
    <n v="490"/>
    <n v="186"/>
    <n v="262"/>
    <n v="99"/>
  </r>
  <r>
    <s v="Son Son"/>
    <x v="7"/>
    <x v="2"/>
    <n v="8.5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Los Angeles FC permanently."/>
    <n v="9"/>
    <n v="5"/>
    <n v="749"/>
    <n v="333"/>
    <n v="752"/>
    <n v="334"/>
    <n v="425"/>
    <n v="145"/>
  </r>
  <r>
    <s v="Julián J.Araujo"/>
    <x v="2"/>
    <x v="1"/>
    <n v="3.9"/>
    <n v="0"/>
    <n v="0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11"/>
    <n v="216"/>
    <n v="400"/>
    <n v="144"/>
    <n v="458"/>
    <n v="162"/>
    <n v="205"/>
    <n v="78"/>
  </r>
  <r>
    <s v="James Maddison"/>
    <x v="7"/>
    <x v="2"/>
    <n v="6.9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Anterior cruciate ligament - Unknown return date"/>
    <n v="38"/>
    <n v="23"/>
    <n v="742"/>
    <n v="329"/>
    <n v="748"/>
    <n v="331"/>
    <n v="427"/>
    <n v="147"/>
  </r>
  <r>
    <s v="Alex Paulsen"/>
    <x v="2"/>
    <x v="3"/>
    <n v="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Lechia Gdansk on loan for the rest of the season."/>
    <n v="666"/>
    <n v="66"/>
    <n v="475"/>
    <n v="60"/>
    <n v="532"/>
    <n v="67"/>
    <n v="511"/>
    <n v="76"/>
  </r>
  <r>
    <s v="Illia Zabarnyi"/>
    <x v="2"/>
    <x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Paris Saint-Germain permanently."/>
    <n v="272"/>
    <n v="42"/>
    <n v="689"/>
    <n v="240"/>
    <n v="715"/>
    <n v="245"/>
    <n v="636"/>
    <n v="220"/>
  </r>
  <r>
    <s v="Owen Bevan"/>
    <x v="2"/>
    <x v="1"/>
    <n v="3.9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30"/>
    <n v="228"/>
    <n v="418"/>
    <n v="155"/>
    <n v="476"/>
    <n v="173"/>
    <n v="393"/>
    <n v="144"/>
  </r>
  <r>
    <s v="Calvin Ramsay"/>
    <x v="10"/>
    <x v="1"/>
    <n v="3.8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50"/>
    <n v="247"/>
    <n v="385"/>
    <n v="134"/>
    <n v="447"/>
    <n v="156"/>
    <n v="344"/>
    <n v="122"/>
  </r>
  <r>
    <s v="Matthew Cox"/>
    <x v="4"/>
    <x v="3"/>
    <n v="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69"/>
    <n v="67"/>
    <n v="478"/>
    <n v="61"/>
    <n v="535"/>
    <n v="68"/>
    <n v="415"/>
    <n v="63"/>
  </r>
  <r>
    <s v="Daniel Adu-Adjei"/>
    <x v="2"/>
    <x v="0"/>
    <n v="4.4000000000000004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HNK Rijeka permanently."/>
    <n v="559"/>
    <n v="77"/>
    <n v="569"/>
    <n v="61"/>
    <n v="614"/>
    <n v="66"/>
    <n v="375"/>
    <n v="57"/>
  </r>
  <r>
    <s v="Timothée Pembele"/>
    <x v="8"/>
    <x v="1"/>
    <n v="3.9"/>
    <n v="0"/>
    <n v="0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17"/>
    <n v="220"/>
    <n v="405"/>
    <n v="147"/>
    <n v="463"/>
    <n v="165"/>
    <n v="257"/>
    <n v="97"/>
  </r>
  <r>
    <s v="Romaine Mundle"/>
    <x v="8"/>
    <x v="2"/>
    <n v="4.9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mstring injury - Expected back 22 Nov"/>
    <n v="326"/>
    <n v="205"/>
    <n v="675"/>
    <n v="282"/>
    <n v="703"/>
    <n v="300"/>
    <n v="728"/>
    <n v="319"/>
  </r>
  <r>
    <s v="Milan Aleksić"/>
    <x v="8"/>
    <x v="2"/>
    <n v="4.9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Cracovia on loan for the rest of the season."/>
    <n v="346"/>
    <n v="220"/>
    <n v="679"/>
    <n v="285"/>
    <n v="706"/>
    <n v="302"/>
    <n v="664"/>
    <n v="280"/>
  </r>
  <r>
    <s v="Gustavo Nunes"/>
    <x v="4"/>
    <x v="2"/>
    <n v="4.9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345"/>
    <n v="219"/>
    <n v="678"/>
    <n v="284"/>
    <n v="705"/>
    <n v="301"/>
    <n v="701"/>
    <n v="303"/>
  </r>
  <r>
    <s v="Romelle Donovan"/>
    <x v="4"/>
    <x v="2"/>
    <n v="4.5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476"/>
    <n v="288"/>
    <n v="633"/>
    <n v="256"/>
    <n v="676"/>
    <n v="282"/>
    <n v="459"/>
    <n v="156"/>
  </r>
  <r>
    <s v="Yunus Emre Konak"/>
    <x v="4"/>
    <x v="2"/>
    <n v="4.4000000000000004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66"/>
    <n v="327"/>
    <n v="576"/>
    <n v="214"/>
    <n v="621"/>
    <n v="241"/>
    <n v="373"/>
    <n v="128"/>
  </r>
  <r>
    <s v="Paris Maghoma"/>
    <x v="4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408"/>
    <n v="246"/>
    <n v="585"/>
    <n v="218"/>
    <n v="629"/>
    <n v="245"/>
    <n v="673"/>
    <n v="286"/>
  </r>
  <r>
    <s v="Myles Peart-Harris"/>
    <x v="4"/>
    <x v="2"/>
    <n v="4.4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20"/>
    <n v="301"/>
    <n v="541"/>
    <n v="190"/>
    <n v="588"/>
    <n v="217"/>
    <n v="596"/>
    <n v="233"/>
  </r>
  <r>
    <s v="Luke O'Nien"/>
    <x v="8"/>
    <x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30"/>
    <n v="163"/>
    <n v="447"/>
    <n v="173"/>
    <n v="504"/>
    <n v="190"/>
    <n v="572"/>
    <n v="207"/>
  </r>
  <r>
    <s v="Ian Poveda"/>
    <x v="8"/>
    <x v="2"/>
    <n v="4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358"/>
    <n v="227"/>
    <n v="650"/>
    <n v="268"/>
    <n v="685"/>
    <n v="289"/>
    <n v="647"/>
    <n v="268"/>
  </r>
  <r>
    <s v="Zak Johnson"/>
    <x v="8"/>
    <x v="1"/>
    <n v="3.9"/>
    <n v="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28"/>
    <n v="226"/>
    <n v="416"/>
    <n v="153"/>
    <n v="474"/>
    <n v="171"/>
    <n v="329"/>
    <n v="115"/>
  </r>
  <r>
    <s v="Niall Huggins"/>
    <x v="8"/>
    <x v="1"/>
    <n v="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Wycombe Wanderers on loan for the rest of the season."/>
    <n v="663"/>
    <n v="181"/>
    <n v="473"/>
    <n v="184"/>
    <n v="530"/>
    <n v="201"/>
    <n v="488"/>
    <n v="177"/>
  </r>
  <r>
    <s v="Leo Fuhr Hjelde"/>
    <x v="8"/>
    <x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chilles injury - 50% chance of playing"/>
    <n v="658"/>
    <n v="178"/>
    <n v="470"/>
    <n v="183"/>
    <n v="527"/>
    <n v="200"/>
    <n v="727"/>
    <n v="245"/>
  </r>
  <r>
    <s v="Dennis Cirkin"/>
    <x v="8"/>
    <x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rist Injury - 50% chance of playing"/>
    <n v="649"/>
    <n v="174"/>
    <n v="463"/>
    <n v="181"/>
    <n v="520"/>
    <n v="198"/>
    <n v="688"/>
    <n v="234"/>
  </r>
  <r>
    <s v="Joe Anderson"/>
    <x v="8"/>
    <x v="1"/>
    <n v="3.9"/>
    <n v="0"/>
    <n v="0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08"/>
    <n v="213"/>
    <n v="398"/>
    <n v="142"/>
    <n v="456"/>
    <n v="160"/>
    <n v="252"/>
    <n v="93"/>
  </r>
  <r>
    <s v="Aji Alese"/>
    <x v="8"/>
    <x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houlder injury - 50% chance of playing"/>
    <n v="635"/>
    <n v="166"/>
    <n v="451"/>
    <n v="175"/>
    <n v="508"/>
    <n v="192"/>
    <n v="730"/>
    <n v="246"/>
  </r>
  <r>
    <s v="Ryan Trevitt"/>
    <x v="4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Wigan on loan for the rest of the season"/>
    <n v="473"/>
    <n v="286"/>
    <n v="630"/>
    <n v="254"/>
    <n v="673"/>
    <n v="280"/>
    <n v="726"/>
    <n v="318"/>
  </r>
  <r>
    <s v="Jayden Meghoma"/>
    <x v="4"/>
    <x v="1"/>
    <n v="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Rangers on loan for the rest of the season."/>
    <n v="668"/>
    <n v="185"/>
    <n v="477"/>
    <n v="187"/>
    <n v="534"/>
    <n v="204"/>
    <n v="565"/>
    <n v="204"/>
  </r>
  <r>
    <s v="Kim Ji-soo"/>
    <x v="4"/>
    <x v="1"/>
    <n v="3.9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Kaiserslautern on loan for the rest of the season."/>
    <n v="740"/>
    <n v="238"/>
    <n v="427"/>
    <n v="164"/>
    <n v="484"/>
    <n v="181"/>
    <n v="461"/>
    <n v="169"/>
  </r>
  <r>
    <s v="Remy Rees-Dottin"/>
    <x v="2"/>
    <x v="2"/>
    <n v="4.400000000000000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63"/>
    <n v="324"/>
    <n v="573"/>
    <n v="211"/>
    <n v="618"/>
    <n v="238"/>
    <n v="418"/>
    <n v="141"/>
  </r>
  <r>
    <s v="Ethan Pinnock"/>
    <x v="4"/>
    <x v="1"/>
    <n v="4.3"/>
    <n v="0"/>
    <n v="0"/>
    <n v="0.1"/>
    <n v="0"/>
    <n v="0"/>
    <n v="155"/>
    <n v="0"/>
    <n v="4"/>
    <n v="0"/>
    <n v="0"/>
    <n v="4.3"/>
    <n v="0"/>
    <n v="0"/>
    <n v="0"/>
    <n v="0"/>
    <n v="0"/>
    <n v="0.04"/>
    <n v="0.04"/>
    <n v="2.11"/>
    <n v="2"/>
    <s v="No News"/>
    <n v="585"/>
    <n v="144"/>
    <n v="516"/>
    <n v="214"/>
    <n v="566"/>
    <n v="226"/>
    <n v="446"/>
    <n v="161"/>
  </r>
  <r>
    <s v="Ellery Balcombe"/>
    <x v="4"/>
    <x v="3"/>
    <n v="4"/>
    <n v="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39"/>
    <n v="55"/>
    <n v="455"/>
    <n v="49"/>
    <n v="512"/>
    <n v="56"/>
    <n v="316"/>
    <n v="44"/>
  </r>
  <r>
    <s v="Callum Olusesi"/>
    <x v="7"/>
    <x v="2"/>
    <n v="4.4000000000000004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34"/>
    <n v="308"/>
    <n v="548"/>
    <n v="196"/>
    <n v="594"/>
    <n v="223"/>
    <n v="362"/>
    <n v="124"/>
  </r>
  <r>
    <s v="Julian Eyestone"/>
    <x v="4"/>
    <x v="3"/>
    <n v="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74"/>
    <n v="68"/>
    <n v="482"/>
    <n v="62"/>
    <n v="538"/>
    <n v="69"/>
    <n v="520"/>
    <n v="78"/>
  </r>
  <r>
    <s v="Hákon Rafn Valdimarsson"/>
    <x v="4"/>
    <x v="3"/>
    <n v="3.9"/>
    <n v="0"/>
    <n v="0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26"/>
    <n v="85"/>
    <n v="414"/>
    <n v="33"/>
    <n v="472"/>
    <n v="40"/>
    <n v="199"/>
    <n v="28"/>
  </r>
  <r>
    <s v="Nazarii Rusyn"/>
    <x v="8"/>
    <x v="0"/>
    <n v="4.400000000000000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Arka on loan for the rest of the season."/>
    <n v="517"/>
    <n v="69"/>
    <n v="539"/>
    <n v="54"/>
    <n v="586"/>
    <n v="59"/>
    <n v="465"/>
    <n v="65"/>
  </r>
  <r>
    <s v="Luís Hemir Luís Hemir"/>
    <x v="8"/>
    <x v="0"/>
    <n v="4.400000000000000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Moreirense on loan for the rest of the season."/>
    <n v="552"/>
    <n v="74"/>
    <n v="563"/>
    <n v="59"/>
    <n v="608"/>
    <n v="64"/>
    <n v="458"/>
    <n v="64"/>
  </r>
  <r>
    <s v="Ahmed Abdullahi"/>
    <x v="8"/>
    <x v="0"/>
    <n v="4.3"/>
    <n v="0"/>
    <n v="0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07"/>
    <n v="82"/>
    <n v="527"/>
    <n v="52"/>
    <n v="576"/>
    <n v="57"/>
    <n v="269"/>
    <n v="41"/>
  </r>
  <r>
    <s v="Mads Roerslev"/>
    <x v="4"/>
    <x v="1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Southampton permanently."/>
    <n v="411"/>
    <n v="81"/>
    <n v="586"/>
    <n v="227"/>
    <n v="630"/>
    <n v="236"/>
    <n v="671"/>
    <n v="226"/>
  </r>
  <r>
    <s v="Benjamin Fredrick"/>
    <x v="4"/>
    <x v="1"/>
    <n v="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Dender on loan for the rest of the season."/>
    <n v="691"/>
    <n v="201"/>
    <n v="499"/>
    <n v="202"/>
    <n v="554"/>
    <n v="217"/>
    <n v="473"/>
    <n v="173"/>
  </r>
  <r>
    <s v="Nectarios Triantis"/>
    <x v="8"/>
    <x v="2"/>
    <n v="4.4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Minnesota United permanently."/>
    <n v="536"/>
    <n v="309"/>
    <n v="550"/>
    <n v="197"/>
    <n v="596"/>
    <n v="224"/>
    <n v="593"/>
    <n v="231"/>
  </r>
  <r>
    <s v="Jay Matete"/>
    <x v="8"/>
    <x v="2"/>
    <n v="4.4000000000000004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31"/>
    <n v="306"/>
    <n v="546"/>
    <n v="194"/>
    <n v="592"/>
    <n v="221"/>
    <n v="353"/>
    <n v="120"/>
  </r>
  <r>
    <s v="Harrison H.Jones"/>
    <x v="8"/>
    <x v="2"/>
    <n v="4.400000000000000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48"/>
    <n v="315"/>
    <n v="561"/>
    <n v="203"/>
    <n v="606"/>
    <n v="230"/>
    <n v="548"/>
    <n v="202"/>
  </r>
  <r>
    <s v="Pierre Ekwah"/>
    <x v="8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AS Saint-Etienne permanently."/>
    <n v="427"/>
    <n v="253"/>
    <n v="594"/>
    <n v="225"/>
    <n v="637"/>
    <n v="251"/>
    <n v="716"/>
    <n v="313"/>
  </r>
  <r>
    <s v="Alan Browne"/>
    <x v="8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Middlesbrough on loan for the rest of the season."/>
    <n v="401"/>
    <n v="245"/>
    <n v="581"/>
    <n v="217"/>
    <n v="626"/>
    <n v="244"/>
    <n v="605"/>
    <n v="240"/>
  </r>
  <r>
    <s v="Abdoullah Ba"/>
    <x v="8"/>
    <x v="2"/>
    <n v="4.3"/>
    <n v="0"/>
    <n v="0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93"/>
    <n v="329"/>
    <n v="519"/>
    <n v="183"/>
    <n v="569"/>
    <n v="211"/>
    <n v="236"/>
    <n v="84"/>
  </r>
  <r>
    <s v="Benjamin Arthur"/>
    <x v="4"/>
    <x v="1"/>
    <n v="3.9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48"/>
    <n v="245"/>
    <n v="434"/>
    <n v="170"/>
    <n v="491"/>
    <n v="187"/>
    <n v="348"/>
    <n v="124"/>
  </r>
  <r>
    <s v="Yang Min-hyeok"/>
    <x v="7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Portsmouth on loan for the rest of the season."/>
    <n v="485"/>
    <n v="295"/>
    <n v="639"/>
    <n v="262"/>
    <n v="680"/>
    <n v="286"/>
    <n v="682"/>
    <n v="290"/>
  </r>
  <r>
    <s v="Dane Scarlett"/>
    <x v="7"/>
    <x v="0"/>
    <n v="4.3"/>
    <n v="0"/>
    <n v="0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95"/>
    <n v="80"/>
    <n v="520"/>
    <n v="50"/>
    <n v="570"/>
    <n v="55"/>
    <n v="211"/>
    <n v="34"/>
  </r>
  <r>
    <s v="Michael Obafemi"/>
    <x v="11"/>
    <x v="0"/>
    <n v="4.400000000000000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VfL Bochum  on loan for the rest of the season."/>
    <n v="505"/>
    <n v="68"/>
    <n v="533"/>
    <n v="53"/>
    <n v="580"/>
    <n v="58"/>
    <n v="411"/>
    <n v="58"/>
  </r>
  <r>
    <s v="Lino Sousa"/>
    <x v="12"/>
    <x v="1"/>
    <n v="3.9"/>
    <n v="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27"/>
    <n v="225"/>
    <n v="415"/>
    <n v="152"/>
    <n v="473"/>
    <n v="170"/>
    <n v="303"/>
    <n v="108"/>
  </r>
  <r>
    <s v="Joe Gauci"/>
    <x v="12"/>
    <x v="3"/>
    <n v="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Port Vale on loan for the rest of the season."/>
    <n v="652"/>
    <n v="60"/>
    <n v="466"/>
    <n v="54"/>
    <n v="523"/>
    <n v="61"/>
    <n v="432"/>
    <n v="66"/>
  </r>
  <r>
    <s v="Alfie Pond"/>
    <x v="19"/>
    <x v="1"/>
    <n v="3.9"/>
    <n v="0"/>
    <n v="0"/>
    <n v="1.4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29"/>
    <n v="227"/>
    <n v="417"/>
    <n v="154"/>
    <n v="475"/>
    <n v="172"/>
    <n v="152"/>
    <n v="58"/>
  </r>
  <r>
    <s v="Pedro Pedro Lima"/>
    <x v="19"/>
    <x v="1"/>
    <n v="4"/>
    <n v="0"/>
    <n v="0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Porto on loan for the rest of the season."/>
    <n v="694"/>
    <n v="204"/>
    <n v="502"/>
    <n v="205"/>
    <n v="557"/>
    <n v="220"/>
    <n v="242"/>
    <n v="88"/>
  </r>
  <r>
    <s v="Bastien Meupiyou"/>
    <x v="19"/>
    <x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On loan to FC Alverca"/>
    <n v="679"/>
    <n v="192"/>
    <n v="487"/>
    <n v="193"/>
    <n v="543"/>
    <n v="209"/>
    <n v="708"/>
    <n v="239"/>
  </r>
  <r>
    <s v="Filip Marschall"/>
    <x v="12"/>
    <x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Stevenage permanently."/>
    <n v="651"/>
    <n v="59"/>
    <n v="465"/>
    <n v="53"/>
    <n v="522"/>
    <n v="60"/>
    <n v="696"/>
    <n v="81"/>
  </r>
  <r>
    <s v="Andrés A.García"/>
    <x v="12"/>
    <x v="1"/>
    <n v="3.9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Knock - Unknown return date"/>
    <n v="746"/>
    <n v="243"/>
    <n v="432"/>
    <n v="168"/>
    <n v="489"/>
    <n v="185"/>
    <n v="333"/>
    <n v="117"/>
  </r>
  <r>
    <s v="Álex Alex Moreno"/>
    <x v="12"/>
    <x v="1"/>
    <n v="4"/>
    <n v="0"/>
    <n v="0"/>
    <n v="2.2999999999999998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Girona permanently."/>
    <n v="624"/>
    <n v="161"/>
    <n v="441"/>
    <n v="171"/>
    <n v="498"/>
    <n v="188"/>
    <n v="116"/>
    <n v="45"/>
  </r>
  <r>
    <s v="Yasin Yasin"/>
    <x v="12"/>
    <x v="1"/>
    <n v="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Anderlecht on loan for the rest of the season."/>
    <n v="686"/>
    <n v="197"/>
    <n v="494"/>
    <n v="198"/>
    <n v="549"/>
    <n v="213"/>
    <n v="412"/>
    <n v="153"/>
  </r>
  <r>
    <s v="Gabriel G.Jesus"/>
    <x v="1"/>
    <x v="0"/>
    <n v="6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nee injury - Expected back 23 Nov"/>
    <n v="61"/>
    <n v="20"/>
    <n v="737"/>
    <n v="78"/>
    <n v="744"/>
    <n v="80"/>
    <n v="595"/>
    <n v="75"/>
  </r>
  <r>
    <s v="Leon Bailey"/>
    <x v="12"/>
    <x v="2"/>
    <n v="5.5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AS Roma on loan for the rest of the season."/>
    <n v="141"/>
    <n v="90"/>
    <n v="724"/>
    <n v="317"/>
    <n v="736"/>
    <n v="324"/>
    <n v="493"/>
    <n v="173"/>
  </r>
  <r>
    <s v="Samuel Iling Jr"/>
    <x v="12"/>
    <x v="2"/>
    <n v="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West Bromwich Albion on loan for the rest of the season"/>
    <n v="148"/>
    <n v="95"/>
    <n v="726"/>
    <n v="319"/>
    <n v="737"/>
    <n v="325"/>
    <n v="653"/>
    <n v="270"/>
  </r>
  <r>
    <s v="Enzo Barrenechea"/>
    <x v="12"/>
    <x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eason-long loan to Benfica"/>
    <n v="274"/>
    <n v="169"/>
    <n v="691"/>
    <n v="294"/>
    <n v="717"/>
    <n v="311"/>
    <n v="751"/>
    <n v="333"/>
  </r>
  <r>
    <s v="Daniel Bentley"/>
    <x v="19"/>
    <x v="3"/>
    <n v="4"/>
    <n v="0"/>
    <n v="0"/>
    <n v="0.6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19"/>
    <n v="42"/>
    <n v="436"/>
    <n v="36"/>
    <n v="493"/>
    <n v="43"/>
    <n v="223"/>
    <n v="30"/>
  </r>
  <r>
    <s v="Lewis Dobbin"/>
    <x v="12"/>
    <x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Preston North End on loan for the rest of the season."/>
    <n v="268"/>
    <n v="165"/>
    <n v="686"/>
    <n v="290"/>
    <n v="712"/>
    <n v="307"/>
    <n v="635"/>
    <n v="260"/>
  </r>
  <r>
    <s v="Ben Broggio"/>
    <x v="12"/>
    <x v="2"/>
    <n v="4.5"/>
    <n v="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469"/>
    <n v="282"/>
    <n v="626"/>
    <n v="250"/>
    <n v="669"/>
    <n v="276"/>
    <n v="297"/>
    <n v="103"/>
  </r>
  <r>
    <s v="Airidas Golambeckis"/>
    <x v="16"/>
    <x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95"/>
    <n v="205"/>
    <n v="503"/>
    <n v="206"/>
    <n v="558"/>
    <n v="221"/>
    <n v="749"/>
    <n v="248"/>
  </r>
  <r>
    <s v="Andre Harriman-Annous"/>
    <x v="1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488"/>
    <n v="297"/>
    <n v="641"/>
    <n v="264"/>
    <n v="681"/>
    <n v="287"/>
    <n v="691"/>
    <n v="296"/>
  </r>
  <r>
    <s v="Albert Sambi"/>
    <x v="1"/>
    <x v="2"/>
    <n v="4.5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Hamburger permanently."/>
    <n v="420"/>
    <n v="249"/>
    <n v="589"/>
    <n v="221"/>
    <n v="632"/>
    <n v="247"/>
    <n v="547"/>
    <n v="201"/>
  </r>
  <r>
    <s v="Lukasz Fabianski"/>
    <x v="16"/>
    <x v="3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ck injury - 25% chance of playing"/>
    <n v="391"/>
    <n v="20"/>
    <n v="577"/>
    <n v="78"/>
    <n v="622"/>
    <n v="81"/>
    <n v="608"/>
    <n v="79"/>
  </r>
  <r>
    <s v="Josh Nichols"/>
    <x v="1"/>
    <x v="1"/>
    <n v="3.9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25"/>
    <n v="224"/>
    <n v="413"/>
    <n v="151"/>
    <n v="471"/>
    <n v="169"/>
    <n v="372"/>
    <n v="133"/>
  </r>
  <r>
    <s v="Karl Hein"/>
    <x v="1"/>
    <x v="3"/>
    <n v="4"/>
    <n v="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Werder Bremen on loan for the rest of the season."/>
    <n v="653"/>
    <n v="61"/>
    <n v="467"/>
    <n v="55"/>
    <n v="524"/>
    <n v="62"/>
    <n v="322"/>
    <n v="47"/>
  </r>
  <r>
    <s v="Tommy Setford"/>
    <x v="1"/>
    <x v="3"/>
    <n v="4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77"/>
    <n v="70"/>
    <n v="485"/>
    <n v="64"/>
    <n v="541"/>
    <n v="71"/>
    <n v="359"/>
    <n v="54"/>
  </r>
  <r>
    <s v="Jakub Kiwior"/>
    <x v="1"/>
    <x v="1"/>
    <n v="5.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Porto on loan for the rest of the season."/>
    <n v="174"/>
    <n v="21"/>
    <n v="714"/>
    <n v="246"/>
    <n v="731"/>
    <n v="249"/>
    <n v="562"/>
    <n v="202"/>
  </r>
  <r>
    <s v="Brayden Clarke"/>
    <x v="1"/>
    <x v="1"/>
    <n v="3.9"/>
    <n v="0"/>
    <n v="0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39"/>
    <n v="237"/>
    <n v="426"/>
    <n v="163"/>
    <n v="483"/>
    <n v="180"/>
    <n v="250"/>
    <n v="92"/>
  </r>
  <r>
    <s v="Maldini Kacurri"/>
    <x v="1"/>
    <x v="1"/>
    <n v="3.9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Morecambe on loan for the rest of the season."/>
    <n v="744"/>
    <n v="241"/>
    <n v="430"/>
    <n v="166"/>
    <n v="487"/>
    <n v="183"/>
    <n v="431"/>
    <n v="158"/>
  </r>
  <r>
    <s v="Nathan Fraser"/>
    <x v="19"/>
    <x v="0"/>
    <n v="4.4000000000000004"/>
    <n v="0"/>
    <n v="0"/>
    <n v="1.8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42"/>
    <n v="71"/>
    <n v="556"/>
    <n v="56"/>
    <n v="601"/>
    <n v="61"/>
    <n v="132"/>
    <n v="19"/>
  </r>
  <r>
    <s v="Leon Chiwome"/>
    <x v="19"/>
    <x v="0"/>
    <n v="4.4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nee injury - Unknown return date"/>
    <n v="557"/>
    <n v="76"/>
    <n v="567"/>
    <n v="60"/>
    <n v="612"/>
    <n v="65"/>
    <n v="629"/>
    <n v="77"/>
  </r>
  <r>
    <s v="Fábio Fábio Silva"/>
    <x v="19"/>
    <x v="0"/>
    <n v="4.9000000000000004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Borussia Dortmund permanently."/>
    <n v="325"/>
    <n v="56"/>
    <n v="674"/>
    <n v="71"/>
    <n v="702"/>
    <n v="75"/>
    <n v="364"/>
    <n v="56"/>
  </r>
  <r>
    <s v="Gonçalo Manuel Guedes"/>
    <x v="19"/>
    <x v="2"/>
    <n v="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Real Sociedad permanently."/>
    <n v="139"/>
    <n v="88"/>
    <n v="723"/>
    <n v="316"/>
    <n v="735"/>
    <n v="323"/>
    <n v="732"/>
    <n v="322"/>
  </r>
  <r>
    <s v="Fábio Fábio Vieira"/>
    <x v="1"/>
    <x v="2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Hamburger on loan for the rest of the season."/>
    <n v="173"/>
    <n v="107"/>
    <n v="713"/>
    <n v="308"/>
    <n v="730"/>
    <n v="319"/>
    <n v="654"/>
    <n v="271"/>
  </r>
  <r>
    <s v="Joe Hodge"/>
    <x v="19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igned by CD Tondela"/>
    <n v="414"/>
    <n v="247"/>
    <n v="587"/>
    <n v="219"/>
    <n v="631"/>
    <n v="246"/>
    <n v="614"/>
    <n v="245"/>
  </r>
  <r>
    <s v="Enso Gonzalez"/>
    <x v="19"/>
    <x v="2"/>
    <n v="4.4000000000000004"/>
    <n v="0"/>
    <n v="0"/>
    <n v="1.4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60"/>
    <n v="322"/>
    <n v="570"/>
    <n v="209"/>
    <n v="615"/>
    <n v="236"/>
    <n v="151"/>
    <n v="52"/>
  </r>
  <r>
    <s v="Tom Edozie"/>
    <x v="19"/>
    <x v="2"/>
    <n v="4.4000000000000004"/>
    <n v="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61"/>
    <n v="323"/>
    <n v="571"/>
    <n v="210"/>
    <n v="616"/>
    <n v="237"/>
    <n v="288"/>
    <n v="101"/>
  </r>
  <r>
    <s v="Tawanda Chirewa"/>
    <x v="19"/>
    <x v="2"/>
    <n v="4.4000000000000004"/>
    <n v="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32"/>
    <n v="307"/>
    <n v="547"/>
    <n v="195"/>
    <n v="593"/>
    <n v="222"/>
    <n v="328"/>
    <n v="114"/>
  </r>
  <r>
    <s v="Boubacar B.Traore"/>
    <x v="19"/>
    <x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FC Metz on loan for the rest of the season."/>
    <n v="271"/>
    <n v="167"/>
    <n v="688"/>
    <n v="292"/>
    <n v="714"/>
    <n v="309"/>
    <n v="745"/>
    <n v="330"/>
  </r>
  <r>
    <s v="Ismeal Kabia"/>
    <x v="1"/>
    <x v="2"/>
    <n v="4.5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Shrewsbury Town on loan for the rest of the season."/>
    <n v="470"/>
    <n v="283"/>
    <n v="627"/>
    <n v="251"/>
    <n v="670"/>
    <n v="277"/>
    <n v="438"/>
    <n v="151"/>
  </r>
  <r>
    <s v="Ezra Mayers"/>
    <x v="16"/>
    <x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90"/>
    <n v="200"/>
    <n v="498"/>
    <n v="201"/>
    <n v="553"/>
    <n v="216"/>
    <n v="722"/>
    <n v="243"/>
  </r>
  <r>
    <s v="Leander Dendoncker"/>
    <x v="12"/>
    <x v="2"/>
    <n v="4.5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Real Oviedo permanently."/>
    <n v="398"/>
    <n v="243"/>
    <n v="579"/>
    <n v="215"/>
    <n v="624"/>
    <n v="242"/>
    <n v="476"/>
    <n v="162"/>
  </r>
  <r>
    <s v="Will Lankshear"/>
    <x v="7"/>
    <x v="0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Oxford United on loan for the rest of the season."/>
    <n v="454"/>
    <n v="61"/>
    <n v="614"/>
    <n v="63"/>
    <n v="657"/>
    <n v="68"/>
    <n v="638"/>
    <n v="78"/>
  </r>
  <r>
    <s v="Aaron A.Ramsey"/>
    <x v="11"/>
    <x v="2"/>
    <n v="4.4000000000000004"/>
    <n v="0"/>
    <n v="0"/>
    <n v="2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Leicester City on loan for the rest of the season."/>
    <n v="519"/>
    <n v="300"/>
    <n v="540"/>
    <n v="189"/>
    <n v="587"/>
    <n v="216"/>
    <n v="124"/>
    <n v="42"/>
  </r>
  <r>
    <s v="Manuel Benson"/>
    <x v="11"/>
    <x v="2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Swansea City on loan for the rest of the season."/>
    <n v="162"/>
    <n v="100"/>
    <n v="710"/>
    <n v="306"/>
    <n v="727"/>
    <n v="317"/>
    <n v="666"/>
    <n v="281"/>
  </r>
  <r>
    <s v="Enock Boateng"/>
    <x v="11"/>
    <x v="2"/>
    <n v="4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375"/>
    <n v="236"/>
    <n v="658"/>
    <n v="271"/>
    <n v="690"/>
    <n v="290"/>
    <n v="589"/>
    <n v="227"/>
  </r>
  <r>
    <s v="Darko Churlinov"/>
    <x v="11"/>
    <x v="2"/>
    <n v="4.9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Kocaelispor  permanently."/>
    <n v="316"/>
    <n v="199"/>
    <n v="667"/>
    <n v="277"/>
    <n v="697"/>
    <n v="295"/>
    <n v="679"/>
    <n v="289"/>
  </r>
  <r>
    <s v="Emerson Emerson"/>
    <x v="16"/>
    <x v="1"/>
    <n v="4.400000000000000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Marseille permanently."/>
    <n v="495"/>
    <n v="106"/>
    <n v="529"/>
    <n v="217"/>
    <n v="577"/>
    <n v="228"/>
    <n v="539"/>
    <n v="194"/>
  </r>
  <r>
    <s v="Luca Koleosho"/>
    <x v="11"/>
    <x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Espanyol on loan for the rest of the season."/>
    <n v="273"/>
    <n v="168"/>
    <n v="690"/>
    <n v="293"/>
    <n v="716"/>
    <n v="310"/>
    <n v="690"/>
    <n v="295"/>
  </r>
  <r>
    <s v="Krisztián Hegyi"/>
    <x v="16"/>
    <x v="3"/>
    <n v="3.9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20"/>
    <n v="82"/>
    <n v="408"/>
    <n v="30"/>
    <n v="466"/>
    <n v="37"/>
    <n v="351"/>
    <n v="52"/>
  </r>
  <r>
    <s v="Wes Foderingham"/>
    <x v="16"/>
    <x v="3"/>
    <n v="4"/>
    <n v="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Aris Limassol permanently."/>
    <n v="621"/>
    <n v="44"/>
    <n v="438"/>
    <n v="38"/>
    <n v="495"/>
    <n v="45"/>
    <n v="304"/>
    <n v="43"/>
  </r>
  <r>
    <s v="Oluwaseun Adewumi"/>
    <x v="11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Cercle Brugge on loan for the rest of the season."/>
    <n v="465"/>
    <n v="280"/>
    <n v="623"/>
    <n v="249"/>
    <n v="666"/>
    <n v="275"/>
    <n v="704"/>
    <n v="304"/>
  </r>
  <r>
    <s v="Jordan Jordan"/>
    <x v="11"/>
    <x v="1"/>
    <n v="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mstring injury - Unknown return date"/>
    <n v="641"/>
    <n v="168"/>
    <n v="457"/>
    <n v="177"/>
    <n v="514"/>
    <n v="194"/>
    <n v="517"/>
    <n v="188"/>
  </r>
  <r>
    <s v="Yusuf Akhamrich"/>
    <x v="7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471"/>
    <n v="284"/>
    <n v="628"/>
    <n v="252"/>
    <n v="671"/>
    <n v="278"/>
    <n v="752"/>
    <n v="334"/>
  </r>
  <r>
    <s v="James Rowswell"/>
    <x v="7"/>
    <x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67"/>
    <n v="184"/>
    <n v="476"/>
    <n v="186"/>
    <n v="533"/>
    <n v="203"/>
    <n v="748"/>
    <n v="247"/>
  </r>
  <r>
    <s v="Jun'ai Byfield"/>
    <x v="7"/>
    <x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93"/>
    <n v="203"/>
    <n v="501"/>
    <n v="204"/>
    <n v="556"/>
    <n v="219"/>
    <n v="689"/>
    <n v="235"/>
  </r>
  <r>
    <s v="Jaydon Banel"/>
    <x v="11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452"/>
    <n v="272"/>
    <n v="613"/>
    <n v="243"/>
    <n v="656"/>
    <n v="269"/>
    <n v="583"/>
    <n v="221"/>
  </r>
  <r>
    <s v="Mike Trésor"/>
    <x v="11"/>
    <x v="2"/>
    <n v="4.400000000000000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16"/>
    <n v="299"/>
    <n v="538"/>
    <n v="188"/>
    <n v="585"/>
    <n v="215"/>
    <n v="506"/>
    <n v="179"/>
  </r>
  <r>
    <s v="Zeki Amdouni"/>
    <x v="11"/>
    <x v="0"/>
    <n v="4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nee injury - Unknown return date"/>
    <n v="372"/>
    <n v="58"/>
    <n v="656"/>
    <n v="68"/>
    <n v="689"/>
    <n v="73"/>
    <n v="648"/>
    <n v="79"/>
  </r>
  <r>
    <s v="Blondy Nna Noukeu"/>
    <x v="8"/>
    <x v="3"/>
    <n v="3.9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22"/>
    <n v="84"/>
    <n v="410"/>
    <n v="32"/>
    <n v="468"/>
    <n v="39"/>
    <n v="421"/>
    <n v="65"/>
  </r>
  <r>
    <s v="Shurandy Sambo"/>
    <x v="11"/>
    <x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Sparta Rotterdam on loan for the rest of the season."/>
    <n v="647"/>
    <n v="172"/>
    <n v="461"/>
    <n v="179"/>
    <n v="518"/>
    <n v="196"/>
    <n v="574"/>
    <n v="209"/>
  </r>
  <r>
    <s v="Kaelan Casey"/>
    <x v="16"/>
    <x v="1"/>
    <n v="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Swansea City on loan for the rest of the season."/>
    <n v="672"/>
    <n v="188"/>
    <n v="480"/>
    <n v="189"/>
    <n v="537"/>
    <n v="206"/>
    <n v="495"/>
    <n v="180"/>
  </r>
  <r>
    <s v="Jamaldeen Jimoh-Aloba"/>
    <x v="12"/>
    <x v="2"/>
    <n v="4.5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457"/>
    <n v="275"/>
    <n v="616"/>
    <n v="245"/>
    <n v="659"/>
    <n v="271"/>
    <n v="532"/>
    <n v="191"/>
  </r>
  <r>
    <s v="Max Weiss"/>
    <x v="11"/>
    <x v="3"/>
    <n v="4.400000000000000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39"/>
    <n v="30"/>
    <n v="553"/>
    <n v="77"/>
    <n v="598"/>
    <n v="80"/>
    <n v="436"/>
    <n v="67"/>
  </r>
  <r>
    <s v="Kadan Young"/>
    <x v="12"/>
    <x v="2"/>
    <n v="4.4000000000000004"/>
    <n v="0"/>
    <n v="0"/>
    <n v="0.6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46"/>
    <n v="313"/>
    <n v="559"/>
    <n v="201"/>
    <n v="604"/>
    <n v="228"/>
    <n v="222"/>
    <n v="76"/>
  </r>
  <r>
    <s v="Zépiqueno Redmond"/>
    <x v="12"/>
    <x v="0"/>
    <n v="4.5"/>
    <n v="0"/>
    <n v="0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Huddersfield Town on loan for the rest of the season."/>
    <n v="466"/>
    <n v="63"/>
    <n v="624"/>
    <n v="65"/>
    <n v="667"/>
    <n v="70"/>
    <n v="283"/>
    <n v="44"/>
  </r>
  <r>
    <s v="James Wright"/>
    <x v="12"/>
    <x v="3"/>
    <n v="4"/>
    <n v="0"/>
    <n v="0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61"/>
    <n v="64"/>
    <n v="471"/>
    <n v="58"/>
    <n v="528"/>
    <n v="65"/>
    <n v="238"/>
    <n v="32"/>
  </r>
  <r>
    <s v="Triston Rowe"/>
    <x v="12"/>
    <x v="1"/>
    <n v="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Annecy on loan for the rest of the season."/>
    <n v="683"/>
    <n v="194"/>
    <n v="491"/>
    <n v="195"/>
    <n v="547"/>
    <n v="211"/>
    <n v="486"/>
    <n v="176"/>
  </r>
  <r>
    <s v="Sam Proctor"/>
    <x v="12"/>
    <x v="3"/>
    <n v="4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80"/>
    <n v="71"/>
    <n v="488"/>
    <n v="65"/>
    <n v="544"/>
    <n v="72"/>
    <n v="339"/>
    <n v="49"/>
  </r>
  <r>
    <s v="Travis Patterson"/>
    <x v="12"/>
    <x v="1"/>
    <n v="3.9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32"/>
    <n v="230"/>
    <n v="420"/>
    <n v="157"/>
    <n v="477"/>
    <n v="174"/>
    <n v="334"/>
    <n v="118"/>
  </r>
  <r>
    <s v="Lewis Orford"/>
    <x v="16"/>
    <x v="2"/>
    <n v="4.400000000000000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Stevenage on loan for the rest of the season."/>
    <n v="540"/>
    <n v="311"/>
    <n v="554"/>
    <n v="199"/>
    <n v="599"/>
    <n v="226"/>
    <n v="531"/>
    <n v="190"/>
  </r>
  <r>
    <s v="George Earthy"/>
    <x v="16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mstring injury - Expected back 22 Nov"/>
    <n v="435"/>
    <n v="259"/>
    <n v="600"/>
    <n v="231"/>
    <n v="643"/>
    <n v="257"/>
    <n v="575"/>
    <n v="214"/>
  </r>
  <r>
    <s v="Bashir Humphreys"/>
    <x v="11"/>
    <x v="1"/>
    <n v="4"/>
    <n v="0"/>
    <n v="0"/>
    <n v="0.1"/>
    <n v="0"/>
    <n v="0"/>
    <n v="2"/>
    <n v="0"/>
    <n v="2"/>
    <n v="0"/>
    <n v="0"/>
    <n v="0"/>
    <n v="0"/>
    <n v="0"/>
    <n v="0"/>
    <n v="0"/>
    <n v="0"/>
    <n v="0"/>
    <n v="0"/>
    <n v="0.62"/>
    <n v="0"/>
    <s v="No News"/>
    <n v="648"/>
    <n v="173"/>
    <n v="462"/>
    <n v="180"/>
    <n v="519"/>
    <n v="197"/>
    <n v="530"/>
    <n v="191"/>
  </r>
  <r>
    <s v="Etienne Green"/>
    <x v="11"/>
    <x v="3"/>
    <n v="4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FC Fredericia permanently."/>
    <n v="662"/>
    <n v="65"/>
    <n v="472"/>
    <n v="59"/>
    <n v="529"/>
    <n v="66"/>
    <n v="349"/>
    <n v="51"/>
  </r>
  <r>
    <s v="Václav Hladký"/>
    <x v="11"/>
    <x v="3"/>
    <n v="4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16"/>
    <n v="39"/>
    <n v="435"/>
    <n v="35"/>
    <n v="492"/>
    <n v="42"/>
    <n v="391"/>
    <n v="60"/>
  </r>
  <r>
    <s v="Maxwel Cornet"/>
    <x v="16"/>
    <x v="2"/>
    <n v="4.9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Genoa on loan for the rest of the season."/>
    <n v="291"/>
    <n v="182"/>
    <n v="660"/>
    <n v="272"/>
    <n v="692"/>
    <n v="291"/>
    <n v="667"/>
    <n v="282"/>
  </r>
  <r>
    <s v="Edson Álvarez"/>
    <x v="16"/>
    <x v="2"/>
    <n v="4.900000000000000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Fenerbahçe on loan for the rest of the season."/>
    <n v="307"/>
    <n v="194"/>
    <n v="665"/>
    <n v="275"/>
    <n v="695"/>
    <n v="293"/>
    <n v="563"/>
    <n v="209"/>
  </r>
  <r>
    <s v="Connor Roberts"/>
    <x v="11"/>
    <x v="1"/>
    <n v="4.4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chilles injury - Unknown return date"/>
    <n v="500"/>
    <n v="111"/>
    <n v="531"/>
    <n v="219"/>
    <n v="579"/>
    <n v="230"/>
    <n v="617"/>
    <n v="215"/>
  </r>
  <r>
    <s v="Hannes Delcroix"/>
    <x v="11"/>
    <x v="1"/>
    <n v="3.9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09"/>
    <n v="214"/>
    <n v="399"/>
    <n v="143"/>
    <n v="457"/>
    <n v="161"/>
    <n v="342"/>
    <n v="121"/>
  </r>
  <r>
    <s v="Owen Dodgson"/>
    <x v="11"/>
    <x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Stockport County on loan for the rest of the season."/>
    <n v="650"/>
    <n v="175"/>
    <n v="464"/>
    <n v="182"/>
    <n v="521"/>
    <n v="199"/>
    <n v="674"/>
    <n v="228"/>
  </r>
  <r>
    <s v="Iwan Morgan"/>
    <x v="4"/>
    <x v="0"/>
    <n v="4.4000000000000004"/>
    <n v="0"/>
    <n v="0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43"/>
    <n v="72"/>
    <n v="557"/>
    <n v="57"/>
    <n v="602"/>
    <n v="62"/>
    <n v="260"/>
    <n v="37"/>
  </r>
  <r>
    <s v="John Victor John"/>
    <x v="18"/>
    <x v="3"/>
    <n v="4"/>
    <n v="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36"/>
    <n v="53"/>
    <n v="452"/>
    <n v="47"/>
    <n v="509"/>
    <n v="54"/>
    <n v="290"/>
    <n v="39"/>
  </r>
  <r>
    <s v="Simon Moore"/>
    <x v="8"/>
    <x v="3"/>
    <n v="3.9"/>
    <n v="0"/>
    <n v="0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98"/>
    <n v="75"/>
    <n v="389"/>
    <n v="23"/>
    <n v="450"/>
    <n v="30"/>
    <n v="275"/>
    <n v="37"/>
  </r>
  <r>
    <s v="Jenson Metcalfe"/>
    <x v="9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Bradford City permanently."/>
    <n v="436"/>
    <n v="260"/>
    <n v="601"/>
    <n v="232"/>
    <n v="644"/>
    <n v="258"/>
    <n v="747"/>
    <n v="332"/>
  </r>
  <r>
    <s v="Elyh Harrison"/>
    <x v="6"/>
    <x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On loan to Shrewsbury Town"/>
    <n v="687"/>
    <n v="73"/>
    <n v="495"/>
    <n v="67"/>
    <n v="550"/>
    <n v="74"/>
    <n v="741"/>
    <n v="86"/>
  </r>
  <r>
    <s v="André Onana"/>
    <x v="6"/>
    <x v="3"/>
    <n v="4.9000000000000004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Trabzonspor on loan for the rest of the season."/>
    <n v="301"/>
    <n v="12"/>
    <n v="664"/>
    <n v="84"/>
    <n v="694"/>
    <n v="85"/>
    <n v="397"/>
    <n v="61"/>
  </r>
  <r>
    <s v="Coby Ebere"/>
    <x v="9"/>
    <x v="2"/>
    <n v="4.4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37"/>
    <n v="310"/>
    <n v="551"/>
    <n v="198"/>
    <n v="597"/>
    <n v="225"/>
    <n v="591"/>
    <n v="229"/>
  </r>
  <r>
    <s v="Isaac Heath"/>
    <x v="9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Accrington on loan for the rest of the season."/>
    <n v="440"/>
    <n v="262"/>
    <n v="604"/>
    <n v="234"/>
    <n v="647"/>
    <n v="260"/>
    <n v="659"/>
    <n v="275"/>
  </r>
  <r>
    <s v="Ryan McAidoo"/>
    <x v="0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483"/>
    <n v="294"/>
    <n v="638"/>
    <n v="261"/>
    <n v="679"/>
    <n v="285"/>
    <n v="709"/>
    <n v="307"/>
  </r>
  <r>
    <s v="Stephen Mfuni"/>
    <x v="0"/>
    <x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81"/>
    <n v="193"/>
    <n v="489"/>
    <n v="194"/>
    <n v="545"/>
    <n v="210"/>
    <n v="619"/>
    <n v="216"/>
  </r>
  <r>
    <s v="Divine Mukasa"/>
    <x v="0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472"/>
    <n v="285"/>
    <n v="629"/>
    <n v="253"/>
    <n v="672"/>
    <n v="279"/>
    <n v="663"/>
    <n v="279"/>
  </r>
  <r>
    <s v="Youssef Y.Chermiti"/>
    <x v="9"/>
    <x v="0"/>
    <n v="4.900000000000000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Rangers permanently."/>
    <n v="336"/>
    <n v="57"/>
    <n v="676"/>
    <n v="72"/>
    <n v="704"/>
    <n v="76"/>
    <n v="510"/>
    <n v="70"/>
  </r>
  <r>
    <s v="Dermot Mee"/>
    <x v="6"/>
    <x v="3"/>
    <n v="3.9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16"/>
    <n v="80"/>
    <n v="404"/>
    <n v="28"/>
    <n v="462"/>
    <n v="35"/>
    <n v="457"/>
    <n v="72"/>
  </r>
  <r>
    <s v="Kalvin Phillips"/>
    <x v="0"/>
    <x v="2"/>
    <n v="4.8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353"/>
    <n v="224"/>
    <n v="648"/>
    <n v="267"/>
    <n v="683"/>
    <n v="288"/>
    <n v="533"/>
    <n v="192"/>
  </r>
  <r>
    <s v="Sverre Nypan"/>
    <x v="0"/>
    <x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Middlesbrough on loan for the rest of the season."/>
    <n v="285"/>
    <n v="178"/>
    <n v="694"/>
    <n v="296"/>
    <n v="720"/>
    <n v="313"/>
    <n v="684"/>
    <n v="291"/>
  </r>
  <r>
    <s v="Martin Sherif"/>
    <x v="9"/>
    <x v="0"/>
    <n v="4.400000000000000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Rotherham United on loan for the rest of the season."/>
    <n v="545"/>
    <n v="73"/>
    <n v="558"/>
    <n v="58"/>
    <n v="603"/>
    <n v="63"/>
    <n v="416"/>
    <n v="59"/>
  </r>
  <r>
    <s v="Claudio Echeverri"/>
    <x v="0"/>
    <x v="2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Bayer Leverkusen on loan for the rest of the season."/>
    <n v="188"/>
    <n v="118"/>
    <n v="721"/>
    <n v="315"/>
    <n v="734"/>
    <n v="322"/>
    <n v="697"/>
    <n v="300"/>
  </r>
  <r>
    <s v="Tom King"/>
    <x v="9"/>
    <x v="3"/>
    <n v="3.9"/>
    <n v="0"/>
    <n v="0"/>
    <n v="1.4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02"/>
    <n v="76"/>
    <n v="393"/>
    <n v="24"/>
    <n v="452"/>
    <n v="31"/>
    <n v="156"/>
    <n v="22"/>
  </r>
  <r>
    <s v="Adam Aznou"/>
    <x v="9"/>
    <x v="1"/>
    <n v="4.3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97"/>
    <n v="149"/>
    <n v="522"/>
    <n v="215"/>
    <n v="572"/>
    <n v="227"/>
    <n v="554"/>
    <n v="198"/>
  </r>
  <r>
    <s v="Tyler Onyango"/>
    <x v="9"/>
    <x v="2"/>
    <n v="4.5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Stockport County on loan for the rest of the season."/>
    <n v="428"/>
    <n v="254"/>
    <n v="595"/>
    <n v="226"/>
    <n v="638"/>
    <n v="252"/>
    <n v="543"/>
    <n v="199"/>
  </r>
  <r>
    <s v="Tom Heaton"/>
    <x v="6"/>
    <x v="3"/>
    <n v="3.9"/>
    <n v="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96"/>
    <n v="74"/>
    <n v="387"/>
    <n v="22"/>
    <n v="449"/>
    <n v="29"/>
    <n v="320"/>
    <n v="46"/>
  </r>
  <r>
    <s v="Callum Bates"/>
    <x v="9"/>
    <x v="2"/>
    <n v="4.400000000000000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50"/>
    <n v="317"/>
    <n v="562"/>
    <n v="204"/>
    <n v="607"/>
    <n v="231"/>
    <n v="513"/>
    <n v="180"/>
  </r>
  <r>
    <s v="Matheus M.França"/>
    <x v="3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CR Vasco da Gama on loan for the rest of the season."/>
    <n v="449"/>
    <n v="269"/>
    <n v="610"/>
    <n v="240"/>
    <n v="653"/>
    <n v="266"/>
    <n v="714"/>
    <n v="312"/>
  </r>
  <r>
    <s v="Mark Travers"/>
    <x v="9"/>
    <x v="3"/>
    <n v="4.400000000000000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08"/>
    <n v="26"/>
    <n v="534"/>
    <n v="74"/>
    <n v="581"/>
    <n v="79"/>
    <n v="442"/>
    <n v="69"/>
  </r>
  <r>
    <s v="Kaden Rodney"/>
    <x v="3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445"/>
    <n v="265"/>
    <n v="607"/>
    <n v="237"/>
    <n v="650"/>
    <n v="263"/>
    <n v="581"/>
    <n v="220"/>
  </r>
  <r>
    <s v="Franco Umeh"/>
    <x v="3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Portsmouth permanently."/>
    <n v="462"/>
    <n v="279"/>
    <n v="620"/>
    <n v="248"/>
    <n v="663"/>
    <n v="274"/>
    <n v="662"/>
    <n v="278"/>
  </r>
  <r>
    <s v="Antony Antony"/>
    <x v="6"/>
    <x v="2"/>
    <n v="5.9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Real Betis permanently."/>
    <n v="102"/>
    <n v="69"/>
    <n v="732"/>
    <n v="323"/>
    <n v="741"/>
    <n v="328"/>
    <n v="538"/>
    <n v="195"/>
  </r>
  <r>
    <s v="Marcus Rashford"/>
    <x v="6"/>
    <x v="2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Barcelona on loan for the rest of the season"/>
    <n v="33"/>
    <n v="19"/>
    <n v="743"/>
    <n v="330"/>
    <n v="749"/>
    <n v="332"/>
    <n v="669"/>
    <n v="284"/>
  </r>
  <r>
    <s v="Zach Marsh"/>
    <x v="3"/>
    <x v="0"/>
    <n v="4.5"/>
    <n v="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467"/>
    <n v="64"/>
    <n v="625"/>
    <n v="66"/>
    <n v="668"/>
    <n v="71"/>
    <n v="302"/>
    <n v="49"/>
  </r>
  <r>
    <s v="Rio Cardines"/>
    <x v="3"/>
    <x v="2"/>
    <n v="4.4000000000000004"/>
    <n v="0"/>
    <n v="0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s v="Groin Injury - 75% chance of playing"/>
    <n v="558"/>
    <n v="321"/>
    <n v="568"/>
    <n v="208"/>
    <n v="613"/>
    <n v="235"/>
    <n v="263"/>
    <n v="92"/>
  </r>
  <r>
    <s v="Tyrell Malacia"/>
    <x v="6"/>
    <x v="1"/>
    <n v="3.9"/>
    <n v="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07"/>
    <n v="212"/>
    <n v="397"/>
    <n v="141"/>
    <n v="455"/>
    <n v="159"/>
    <n v="294"/>
    <n v="106"/>
  </r>
  <r>
    <s v="Tyler Fredricson"/>
    <x v="6"/>
    <x v="1"/>
    <n v="3.9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35"/>
    <n v="233"/>
    <n v="423"/>
    <n v="160"/>
    <n v="480"/>
    <n v="177"/>
    <n v="430"/>
    <n v="157"/>
  </r>
  <r>
    <s v="Lisandro Martinez"/>
    <x v="6"/>
    <x v="1"/>
    <n v="4.8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Knee injury - Unknown return date"/>
    <n v="360"/>
    <n v="61"/>
    <n v="651"/>
    <n v="235"/>
    <n v="686"/>
    <n v="242"/>
    <n v="508"/>
    <n v="185"/>
  </r>
  <r>
    <s v="Harry Amass"/>
    <x v="6"/>
    <x v="1"/>
    <n v="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Sheffield Wednesday on loan for the rest of the season."/>
    <n v="685"/>
    <n v="196"/>
    <n v="493"/>
    <n v="197"/>
    <n v="548"/>
    <n v="212"/>
    <n v="492"/>
    <n v="179"/>
  </r>
  <r>
    <s v="Harry Tyrer"/>
    <x v="9"/>
    <x v="3"/>
    <n v="3.9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15"/>
    <n v="79"/>
    <n v="403"/>
    <n v="27"/>
    <n v="461"/>
    <n v="34"/>
    <n v="449"/>
    <n v="71"/>
  </r>
  <r>
    <s v="Jarrad Branthwaite"/>
    <x v="9"/>
    <x v="1"/>
    <n v="5.3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Hamstring injury - Unknown return date"/>
    <n v="205"/>
    <n v="28"/>
    <n v="706"/>
    <n v="244"/>
    <n v="726"/>
    <n v="247"/>
    <n v="395"/>
    <n v="146"/>
  </r>
  <r>
    <s v="Nathan Patterson"/>
    <x v="9"/>
    <x v="1"/>
    <n v="4.4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oot injury - Expected back 23 Nov"/>
    <n v="514"/>
    <n v="122"/>
    <n v="537"/>
    <n v="223"/>
    <n v="584"/>
    <n v="233"/>
    <n v="672"/>
    <n v="227"/>
  </r>
  <r>
    <s v="Roman Dixon"/>
    <x v="9"/>
    <x v="1"/>
    <n v="3.9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24"/>
    <n v="223"/>
    <n v="412"/>
    <n v="150"/>
    <n v="470"/>
    <n v="168"/>
    <n v="376"/>
    <n v="135"/>
  </r>
  <r>
    <s v="Reece Welch"/>
    <x v="9"/>
    <x v="1"/>
    <n v="3.9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19"/>
    <n v="221"/>
    <n v="407"/>
    <n v="148"/>
    <n v="465"/>
    <n v="166"/>
    <n v="410"/>
    <n v="152"/>
  </r>
  <r>
    <s v="Diego D.Leon"/>
    <x v="6"/>
    <x v="1"/>
    <n v="4.2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13"/>
    <n v="158"/>
    <n v="505"/>
    <n v="207"/>
    <n v="560"/>
    <n v="222"/>
    <n v="556"/>
    <n v="199"/>
  </r>
  <r>
    <s v="Elijah Campbell"/>
    <x v="9"/>
    <x v="1"/>
    <n v="3.9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23"/>
    <n v="222"/>
    <n v="411"/>
    <n v="149"/>
    <n v="469"/>
    <n v="167"/>
    <n v="387"/>
    <n v="140"/>
  </r>
  <r>
    <s v="İlkay Gündoğan"/>
    <x v="0"/>
    <x v="2"/>
    <n v="6.3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Galatasaray permanently."/>
    <n v="67"/>
    <n v="45"/>
    <n v="735"/>
    <n v="326"/>
    <n v="742"/>
    <n v="329"/>
    <n v="525"/>
    <n v="188"/>
  </r>
  <r>
    <s v="Steven Benda"/>
    <x v="15"/>
    <x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Millwall on loan for the rest of the season."/>
    <n v="643"/>
    <n v="57"/>
    <n v="458"/>
    <n v="51"/>
    <n v="515"/>
    <n v="58"/>
    <n v="725"/>
    <n v="82"/>
  </r>
  <r>
    <s v="James McConnell"/>
    <x v="10"/>
    <x v="2"/>
    <n v="4.4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Ajax on loan for the rest of the season."/>
    <n v="530"/>
    <n v="305"/>
    <n v="545"/>
    <n v="193"/>
    <n v="591"/>
    <n v="220"/>
    <n v="641"/>
    <n v="263"/>
  </r>
  <r>
    <s v="Joe Gelhardt"/>
    <x v="17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Hull City on loan for the rest of the season."/>
    <n v="430"/>
    <n v="256"/>
    <n v="597"/>
    <n v="228"/>
    <n v="640"/>
    <n v="254"/>
    <n v="700"/>
    <n v="302"/>
  </r>
  <r>
    <s v="Darko Gyabi"/>
    <x v="17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Hull City permanently."/>
    <n v="431"/>
    <n v="257"/>
    <n v="598"/>
    <n v="229"/>
    <n v="641"/>
    <n v="255"/>
    <n v="621"/>
    <n v="250"/>
  </r>
  <r>
    <s v="Patrick Bamford"/>
    <x v="17"/>
    <x v="0"/>
    <n v="4.9000000000000004"/>
    <n v="0"/>
    <n v="0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s v="has departed the club as a free agent."/>
    <n v="290"/>
    <n v="54"/>
    <n v="659"/>
    <n v="69"/>
    <n v="691"/>
    <n v="74"/>
    <n v="261"/>
    <n v="38"/>
  </r>
  <r>
    <s v="Jayden Danns"/>
    <x v="10"/>
    <x v="0"/>
    <n v="4.400000000000000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mstring injury - Unknown return date"/>
    <n v="535"/>
    <n v="70"/>
    <n v="549"/>
    <n v="55"/>
    <n v="595"/>
    <n v="60"/>
    <n v="435"/>
    <n v="61"/>
  </r>
  <r>
    <s v="Darwin Darwin"/>
    <x v="10"/>
    <x v="0"/>
    <n v="6.5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Al-Hilal permanently."/>
    <n v="58"/>
    <n v="18"/>
    <n v="739"/>
    <n v="79"/>
    <n v="746"/>
    <n v="81"/>
    <n v="526"/>
    <n v="71"/>
  </r>
  <r>
    <s v="Trey Nyoni"/>
    <x v="10"/>
    <x v="2"/>
    <n v="4.3"/>
    <n v="0"/>
    <n v="0"/>
    <n v="0.6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04"/>
    <n v="333"/>
    <n v="525"/>
    <n v="186"/>
    <n v="574"/>
    <n v="214"/>
    <n v="228"/>
    <n v="79"/>
  </r>
  <r>
    <s v="Tyler Morton"/>
    <x v="10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Lyon permanently."/>
    <n v="421"/>
    <n v="250"/>
    <n v="590"/>
    <n v="222"/>
    <n v="633"/>
    <n v="248"/>
    <n v="738"/>
    <n v="326"/>
  </r>
  <r>
    <s v="Stefan Bajcetic"/>
    <x v="10"/>
    <x v="2"/>
    <n v="4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mstring injury - Unknown return date"/>
    <n v="601"/>
    <n v="332"/>
    <n v="523"/>
    <n v="185"/>
    <n v="573"/>
    <n v="213"/>
    <n v="587"/>
    <n v="225"/>
  </r>
  <r>
    <s v="Samuel Amissah"/>
    <x v="15"/>
    <x v="1"/>
    <n v="3.9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45"/>
    <n v="242"/>
    <n v="431"/>
    <n v="167"/>
    <n v="488"/>
    <n v="184"/>
    <n v="409"/>
    <n v="151"/>
  </r>
  <r>
    <s v="Mateo Mateo Joseph"/>
    <x v="17"/>
    <x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RCD Mallorca on loan for the rest of the season."/>
    <n v="284"/>
    <n v="53"/>
    <n v="693"/>
    <n v="74"/>
    <n v="719"/>
    <n v="77"/>
    <n v="695"/>
    <n v="81"/>
  </r>
  <r>
    <s v="Harry Gray"/>
    <x v="17"/>
    <x v="0"/>
    <n v="4.5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475"/>
    <n v="65"/>
    <n v="632"/>
    <n v="67"/>
    <n v="675"/>
    <n v="72"/>
    <n v="501"/>
    <n v="69"/>
  </r>
  <r>
    <s v="Ármin Pécsi"/>
    <x v="10"/>
    <x v="3"/>
    <n v="3.9"/>
    <n v="0"/>
    <n v="0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43"/>
    <n v="86"/>
    <n v="429"/>
    <n v="34"/>
    <n v="486"/>
    <n v="41"/>
    <n v="273"/>
    <n v="36"/>
  </r>
  <r>
    <s v="Freddie Woodman"/>
    <x v="10"/>
    <x v="3"/>
    <n v="3.9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03"/>
    <n v="77"/>
    <n v="394"/>
    <n v="25"/>
    <n v="453"/>
    <n v="32"/>
    <n v="356"/>
    <n v="53"/>
  </r>
  <r>
    <s v="Konstantinos Tsimikas"/>
    <x v="10"/>
    <x v="1"/>
    <n v="4.8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AS Roma on loan for the rest of the season."/>
    <n v="356"/>
    <n v="59"/>
    <n v="649"/>
    <n v="234"/>
    <n v="684"/>
    <n v="241"/>
    <n v="557"/>
    <n v="200"/>
  </r>
  <r>
    <s v="Amara Nallo"/>
    <x v="10"/>
    <x v="1"/>
    <n v="3.8"/>
    <n v="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52"/>
    <n v="249"/>
    <n v="386"/>
    <n v="135"/>
    <n v="448"/>
    <n v="157"/>
    <n v="289"/>
    <n v="105"/>
  </r>
  <r>
    <s v="Rhys R.Williams"/>
    <x v="10"/>
    <x v="1"/>
    <n v="3.8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49"/>
    <n v="246"/>
    <n v="384"/>
    <n v="133"/>
    <n v="446"/>
    <n v="155"/>
    <n v="338"/>
    <n v="119"/>
  </r>
  <r>
    <s v="Giovanni Leoni"/>
    <x v="10"/>
    <x v="1"/>
    <n v="4.9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nee injury - Expected back 01 Sep"/>
    <n v="348"/>
    <n v="58"/>
    <n v="681"/>
    <n v="239"/>
    <n v="708"/>
    <n v="244"/>
    <n v="677"/>
    <n v="230"/>
  </r>
  <r>
    <s v="Kieran Morrison"/>
    <x v="10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474"/>
    <n v="287"/>
    <n v="631"/>
    <n v="255"/>
    <n v="674"/>
    <n v="281"/>
    <n v="737"/>
    <n v="325"/>
  </r>
  <r>
    <s v="Charlie Crew"/>
    <x v="17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Doncaster Rovers on loan for the rest of the season."/>
    <n v="448"/>
    <n v="268"/>
    <n v="609"/>
    <n v="239"/>
    <n v="652"/>
    <n v="265"/>
    <n v="729"/>
    <n v="320"/>
  </r>
  <r>
    <s v="Ederson Ederson M."/>
    <x v="0"/>
    <x v="3"/>
    <n v="5.3"/>
    <n v="0"/>
    <n v="0"/>
    <n v="0.9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Fenerbache permanently."/>
    <n v="190"/>
    <n v="5"/>
    <n v="703"/>
    <n v="85"/>
    <n v="724"/>
    <n v="86"/>
    <n v="188"/>
    <n v="27"/>
  </r>
  <r>
    <s v="Andreas Andreas"/>
    <x v="15"/>
    <x v="2"/>
    <n v="5.3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Palmeiras permanently."/>
    <n v="192"/>
    <n v="119"/>
    <n v="704"/>
    <n v="303"/>
    <n v="725"/>
    <n v="316"/>
    <n v="523"/>
    <n v="186"/>
  </r>
  <r>
    <s v="Martial Godo"/>
    <x v="15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Strasbourg permanently."/>
    <n v="461"/>
    <n v="278"/>
    <n v="619"/>
    <n v="247"/>
    <n v="662"/>
    <n v="273"/>
    <n v="630"/>
    <n v="256"/>
  </r>
  <r>
    <s v="Luke Harris"/>
    <x v="15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Oxford United on loan for the rest of the season."/>
    <n v="443"/>
    <n v="264"/>
    <n v="606"/>
    <n v="236"/>
    <n v="649"/>
    <n v="262"/>
    <n v="742"/>
    <n v="327"/>
  </r>
  <r>
    <s v="Harrison Reed"/>
    <x v="15"/>
    <x v="2"/>
    <n v="4.3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79"/>
    <n v="328"/>
    <n v="514"/>
    <n v="182"/>
    <n v="564"/>
    <n v="210"/>
    <n v="345"/>
    <n v="119"/>
  </r>
  <r>
    <s v="Vitor Vitor Reis"/>
    <x v="0"/>
    <x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Girona on loan for the rest of the season."/>
    <n v="288"/>
    <n v="44"/>
    <n v="696"/>
    <n v="241"/>
    <n v="722"/>
    <n v="246"/>
    <n v="724"/>
    <n v="244"/>
  </r>
  <r>
    <s v="Benjamin Lecomte"/>
    <x v="15"/>
    <x v="3"/>
    <n v="4"/>
    <n v="0"/>
    <n v="0"/>
    <n v="0.6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22"/>
    <n v="45"/>
    <n v="439"/>
    <n v="39"/>
    <n v="496"/>
    <n v="46"/>
    <n v="217"/>
    <n v="29"/>
  </r>
  <r>
    <s v="Kepa Arrizabalaga"/>
    <x v="1"/>
    <x v="3"/>
    <n v="4.2"/>
    <n v="0"/>
    <n v="0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10"/>
    <n v="38"/>
    <n v="504"/>
    <n v="68"/>
    <n v="559"/>
    <n v="75"/>
    <n v="244"/>
    <n v="34"/>
  </r>
  <r>
    <s v="Alex Cairns"/>
    <x v="17"/>
    <x v="3"/>
    <n v="4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23"/>
    <n v="46"/>
    <n v="440"/>
    <n v="40"/>
    <n v="497"/>
    <n v="47"/>
    <n v="390"/>
    <n v="59"/>
  </r>
  <r>
    <s v="Sebastiaan Bornauw"/>
    <x v="17"/>
    <x v="1"/>
    <n v="3.9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Knee injury - 75% chance of playing"/>
    <n v="712"/>
    <n v="217"/>
    <n v="401"/>
    <n v="145"/>
    <n v="459"/>
    <n v="163"/>
    <n v="507"/>
    <n v="184"/>
  </r>
  <r>
    <s v="Isaac Schmidt"/>
    <x v="17"/>
    <x v="1"/>
    <n v="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Werder Bremen on loan for the rest of the season."/>
    <n v="664"/>
    <n v="182"/>
    <n v="474"/>
    <n v="185"/>
    <n v="531"/>
    <n v="202"/>
    <n v="499"/>
    <n v="181"/>
  </r>
  <r>
    <s v="Manuel Akanji"/>
    <x v="0"/>
    <x v="1"/>
    <n v="5.4"/>
    <n v="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Inter Milan on loan for the rest of the season."/>
    <n v="167"/>
    <n v="20"/>
    <n v="711"/>
    <n v="245"/>
    <n v="728"/>
    <n v="248"/>
    <n v="312"/>
    <n v="110"/>
  </r>
  <r>
    <s v="Sam Greenwood"/>
    <x v="17"/>
    <x v="2"/>
    <n v="4.9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Pogon Szczecin permanently."/>
    <n v="314"/>
    <n v="198"/>
    <n v="666"/>
    <n v="276"/>
    <n v="696"/>
    <n v="294"/>
    <n v="606"/>
    <n v="241"/>
  </r>
  <r>
    <s v="Largie Ramazani"/>
    <x v="17"/>
    <x v="2"/>
    <n v="4.9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Valencia on loan for the rest of the season."/>
    <n v="320"/>
    <n v="201"/>
    <n v="669"/>
    <n v="278"/>
    <n v="698"/>
    <n v="296"/>
    <n v="670"/>
    <n v="285"/>
  </r>
  <r>
    <s v="Marcus Bettinelli"/>
    <x v="0"/>
    <x v="3"/>
    <n v="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28"/>
    <n v="50"/>
    <n v="445"/>
    <n v="44"/>
    <n v="502"/>
    <n v="51"/>
    <n v="445"/>
    <n v="70"/>
  </r>
  <r>
    <s v="Stefan Ortega Moreno"/>
    <x v="0"/>
    <x v="3"/>
    <n v="4.8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350"/>
    <n v="14"/>
    <n v="647"/>
    <n v="81"/>
    <n v="682"/>
    <n v="83"/>
    <n v="382"/>
    <n v="58"/>
  </r>
  <r>
    <s v="David Ozoh"/>
    <x v="3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Derby County on loan for the rest of the season."/>
    <n v="446"/>
    <n v="266"/>
    <n v="608"/>
    <n v="238"/>
    <n v="651"/>
    <n v="264"/>
    <n v="743"/>
    <n v="328"/>
  </r>
  <r>
    <s v="Toby Collyer"/>
    <x v="6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West Bromwich Albion on loan for the rest of the season."/>
    <n v="434"/>
    <n v="258"/>
    <n v="599"/>
    <n v="230"/>
    <n v="642"/>
    <n v="256"/>
    <n v="618"/>
    <n v="248"/>
  </r>
  <r>
    <s v="Anthony Patterson"/>
    <x v="8"/>
    <x v="3"/>
    <n v="4.3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86"/>
    <n v="35"/>
    <n v="517"/>
    <n v="72"/>
    <n v="567"/>
    <n v="77"/>
    <n v="367"/>
    <n v="56"/>
  </r>
  <r>
    <s v="Adrian Mazilu"/>
    <x v="14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Dinamo Bucharest permanently."/>
    <n v="450"/>
    <n v="270"/>
    <n v="611"/>
    <n v="241"/>
    <n v="654"/>
    <n v="267"/>
    <n v="644"/>
    <n v="265"/>
  </r>
  <r>
    <s v="Abdallah Sima"/>
    <x v="14"/>
    <x v="2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Lens permanently."/>
    <n v="185"/>
    <n v="116"/>
    <n v="720"/>
    <n v="314"/>
    <n v="733"/>
    <n v="321"/>
    <n v="685"/>
    <n v="292"/>
  </r>
  <r>
    <s v="Jeremy Sarmiento"/>
    <x v="14"/>
    <x v="2"/>
    <n v="4.9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Cremonese on loan for the rest of the season."/>
    <n v="324"/>
    <n v="204"/>
    <n v="673"/>
    <n v="281"/>
    <n v="701"/>
    <n v="299"/>
    <n v="668"/>
    <n v="283"/>
  </r>
  <r>
    <s v="Willy Boly"/>
    <x v="18"/>
    <x v="1"/>
    <n v="3.9"/>
    <n v="0"/>
    <n v="0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99"/>
    <n v="207"/>
    <n v="390"/>
    <n v="137"/>
    <n v="451"/>
    <n v="158"/>
    <n v="247"/>
    <n v="89"/>
  </r>
  <r>
    <s v="Zach Abbott"/>
    <x v="18"/>
    <x v="1"/>
    <n v="3.9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37"/>
    <n v="235"/>
    <n v="425"/>
    <n v="162"/>
    <n v="482"/>
    <n v="179"/>
    <n v="374"/>
    <n v="134"/>
  </r>
  <r>
    <s v="Omar O.Richards"/>
    <x v="18"/>
    <x v="1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Rio Ave on loan for the rest of the season."/>
    <n v="407"/>
    <n v="78"/>
    <n v="584"/>
    <n v="226"/>
    <n v="628"/>
    <n v="235"/>
    <n v="651"/>
    <n v="223"/>
  </r>
  <r>
    <s v="Malick Yalcouye"/>
    <x v="14"/>
    <x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Swansea City on loan for the rest of the season."/>
    <n v="287"/>
    <n v="180"/>
    <n v="695"/>
    <n v="297"/>
    <n v="721"/>
    <n v="314"/>
    <n v="720"/>
    <n v="316"/>
  </r>
  <r>
    <s v="David David Carmo"/>
    <x v="18"/>
    <x v="1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Real Oviedo on loan for the rest of the season."/>
    <n v="425"/>
    <n v="89"/>
    <n v="593"/>
    <n v="228"/>
    <n v="636"/>
    <n v="237"/>
    <n v="643"/>
    <n v="222"/>
  </r>
  <r>
    <s v="Andrew Moran"/>
    <x v="14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Los Angeles FC on loan for the rest of the season."/>
    <n v="442"/>
    <n v="263"/>
    <n v="605"/>
    <n v="235"/>
    <n v="648"/>
    <n v="261"/>
    <n v="661"/>
    <n v="277"/>
  </r>
  <r>
    <s v="Solly March"/>
    <x v="14"/>
    <x v="2"/>
    <n v="5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nee injury - Unknown return date"/>
    <n v="105"/>
    <n v="71"/>
    <n v="730"/>
    <n v="321"/>
    <n v="739"/>
    <n v="326"/>
    <n v="713"/>
    <n v="311"/>
  </r>
  <r>
    <s v="Evan Ferguson"/>
    <x v="14"/>
    <x v="0"/>
    <n v="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AS Roma on loan for the rest of the season"/>
    <n v="149"/>
    <n v="36"/>
    <n v="727"/>
    <n v="75"/>
    <n v="738"/>
    <n v="78"/>
    <n v="703"/>
    <n v="82"/>
  </r>
  <r>
    <s v="Matt Turner"/>
    <x v="18"/>
    <x v="3"/>
    <n v="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Lyon permanently."/>
    <n v="638"/>
    <n v="54"/>
    <n v="454"/>
    <n v="48"/>
    <n v="511"/>
    <n v="55"/>
    <n v="464"/>
    <n v="74"/>
  </r>
  <r>
    <s v="Carlos Miguel C.Miguel"/>
    <x v="18"/>
    <x v="3"/>
    <n v="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Palmeiras permanently."/>
    <n v="657"/>
    <n v="63"/>
    <n v="469"/>
    <n v="57"/>
    <n v="526"/>
    <n v="64"/>
    <n v="494"/>
    <n v="75"/>
  </r>
  <r>
    <s v="Mike Penders"/>
    <x v="5"/>
    <x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RC Strasbourg on loan for the rest of the season."/>
    <n v="676"/>
    <n v="69"/>
    <n v="484"/>
    <n v="63"/>
    <n v="540"/>
    <n v="70"/>
    <n v="734"/>
    <n v="83"/>
  </r>
  <r>
    <s v="Gabriel Slonina"/>
    <x v="5"/>
    <x v="3"/>
    <n v="3.9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18"/>
    <n v="81"/>
    <n v="406"/>
    <n v="29"/>
    <n v="464"/>
    <n v="36"/>
    <n v="439"/>
    <n v="68"/>
  </r>
  <r>
    <s v="Seung-Soo Seung soo"/>
    <x v="13"/>
    <x v="2"/>
    <n v="4.4000000000000004"/>
    <n v="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65"/>
    <n v="326"/>
    <n v="575"/>
    <n v="213"/>
    <n v="620"/>
    <n v="240"/>
    <n v="330"/>
    <n v="115"/>
  </r>
  <r>
    <s v="Levi Colwill"/>
    <x v="5"/>
    <x v="1"/>
    <n v="4.8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Anterior cruciate ligament - Unknown return date"/>
    <n v="367"/>
    <n v="62"/>
    <n v="654"/>
    <n v="236"/>
    <n v="688"/>
    <n v="243"/>
    <n v="447"/>
    <n v="162"/>
  </r>
  <r>
    <s v="Julio Enciso"/>
    <x v="14"/>
    <x v="2"/>
    <n v="5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Strasbourg permanently."/>
    <n v="177"/>
    <n v="109"/>
    <n v="716"/>
    <n v="310"/>
    <n v="732"/>
    <n v="320"/>
    <n v="699"/>
    <n v="301"/>
  </r>
  <r>
    <s v="Charlie Tasker"/>
    <x v="14"/>
    <x v="1"/>
    <n v="3.9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36"/>
    <n v="234"/>
    <n v="424"/>
    <n v="161"/>
    <n v="481"/>
    <n v="178"/>
    <n v="405"/>
    <n v="150"/>
  </r>
  <r>
    <s v="Jayce Fitzgerald"/>
    <x v="6"/>
    <x v="2"/>
    <n v="4.4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53"/>
    <n v="318"/>
    <n v="564"/>
    <n v="205"/>
    <n v="609"/>
    <n v="232"/>
    <n v="600"/>
    <n v="237"/>
  </r>
  <r>
    <s v="Angus Gunn"/>
    <x v="18"/>
    <x v="3"/>
    <n v="4"/>
    <n v="0"/>
    <n v="0"/>
    <n v="1.4"/>
    <n v="0"/>
    <n v="0"/>
    <n v="0"/>
    <n v="0"/>
    <n v="0"/>
    <n v="0"/>
    <n v="0"/>
    <n v="0"/>
    <n v="0"/>
    <n v="0"/>
    <n v="0"/>
    <n v="0"/>
    <n v="0"/>
    <n v="0"/>
    <n v="0"/>
    <n v="0"/>
    <n v="0"/>
    <s v="Knee injury - Unknown return date"/>
    <n v="625"/>
    <n v="47"/>
    <n v="442"/>
    <n v="41"/>
    <n v="499"/>
    <n v="48"/>
    <n v="149"/>
    <n v="20"/>
  </r>
  <r>
    <s v="Josh Dasilva"/>
    <x v="4"/>
    <x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248"/>
    <n v="154"/>
    <n v="682"/>
    <n v="287"/>
    <n v="709"/>
    <n v="304"/>
    <n v="744"/>
    <n v="329"/>
  </r>
  <r>
    <s v="Luis Eduardo Cuiabano"/>
    <x v="18"/>
    <x v="1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Botafogo on loan for the rest of the season."/>
    <n v="458"/>
    <n v="97"/>
    <n v="617"/>
    <n v="230"/>
    <n v="660"/>
    <n v="239"/>
    <n v="750"/>
    <n v="249"/>
  </r>
  <r>
    <s v="Jason Steele"/>
    <x v="14"/>
    <x v="3"/>
    <n v="4.3"/>
    <n v="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68"/>
    <n v="31"/>
    <n v="506"/>
    <n v="69"/>
    <n v="561"/>
    <n v="76"/>
    <n v="319"/>
    <n v="45"/>
  </r>
  <r>
    <s v="Luis Luis Díaz"/>
    <x v="10"/>
    <x v="2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Bayern Munch permanently."/>
    <n v="16"/>
    <n v="10"/>
    <n v="748"/>
    <n v="332"/>
    <n v="751"/>
    <n v="333"/>
    <n v="578"/>
    <n v="217"/>
  </r>
  <r>
    <s v="Tom McGill"/>
    <x v="14"/>
    <x v="3"/>
    <n v="4"/>
    <n v="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33"/>
    <n v="52"/>
    <n v="450"/>
    <n v="46"/>
    <n v="507"/>
    <n v="53"/>
    <n v="293"/>
    <n v="40"/>
  </r>
  <r>
    <s v="Carl Rushworth"/>
    <x v="14"/>
    <x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Coventry City on loan for the rest of the season."/>
    <n v="656"/>
    <n v="62"/>
    <n v="468"/>
    <n v="56"/>
    <n v="525"/>
    <n v="63"/>
    <n v="739"/>
    <n v="84"/>
  </r>
  <r>
    <s v="Kjell Scherpen"/>
    <x v="14"/>
    <x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Union SG permanently"/>
    <n v="640"/>
    <n v="56"/>
    <n v="456"/>
    <n v="50"/>
    <n v="513"/>
    <n v="57"/>
    <n v="740"/>
    <n v="85"/>
  </r>
  <r>
    <s v="Olivier Boscagli"/>
    <x v="14"/>
    <x v="1"/>
    <n v="4.3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82"/>
    <n v="141"/>
    <n v="515"/>
    <n v="213"/>
    <n v="565"/>
    <n v="225"/>
    <n v="500"/>
    <n v="182"/>
  </r>
  <r>
    <s v="Lewis O'Brien"/>
    <x v="18"/>
    <x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Wrexham permanently."/>
    <n v="263"/>
    <n v="163"/>
    <n v="685"/>
    <n v="289"/>
    <n v="711"/>
    <n v="306"/>
    <n v="746"/>
    <n v="331"/>
  </r>
  <r>
    <s v="Pervis Estupiñan"/>
    <x v="14"/>
    <x v="1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AC Milan permanently"/>
    <n v="406"/>
    <n v="77"/>
    <n v="583"/>
    <n v="225"/>
    <n v="627"/>
    <n v="234"/>
    <n v="698"/>
    <n v="236"/>
  </r>
  <r>
    <s v="Tariq Lamptey"/>
    <x v="14"/>
    <x v="1"/>
    <n v="4.400000000000000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Fiorentina permanently."/>
    <n v="511"/>
    <n v="119"/>
    <n v="535"/>
    <n v="221"/>
    <n v="582"/>
    <n v="231"/>
    <n v="460"/>
    <n v="168"/>
  </r>
  <r>
    <s v="Adam Webster"/>
    <x v="14"/>
    <x v="1"/>
    <n v="4.4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nee injury - Unknown return date"/>
    <n v="496"/>
    <n v="107"/>
    <n v="530"/>
    <n v="218"/>
    <n v="578"/>
    <n v="229"/>
    <n v="715"/>
    <n v="240"/>
  </r>
  <r>
    <s v="Marko Stamenic"/>
    <x v="18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Swansea City permanently."/>
    <n v="439"/>
    <n v="261"/>
    <n v="603"/>
    <n v="233"/>
    <n v="646"/>
    <n v="259"/>
    <n v="655"/>
    <n v="272"/>
  </r>
  <r>
    <s v="Eric Da Silva Moreira"/>
    <x v="18"/>
    <x v="2"/>
    <n v="4.5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Rio Ave on loan for the rest of the season."/>
    <n v="460"/>
    <n v="277"/>
    <n v="618"/>
    <n v="246"/>
    <n v="661"/>
    <n v="272"/>
    <n v="540"/>
    <n v="196"/>
  </r>
  <r>
    <s v="Eiran Cashin"/>
    <x v="14"/>
    <x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Birmingham on loan for the rest of the season."/>
    <n v="645"/>
    <n v="171"/>
    <n v="459"/>
    <n v="178"/>
    <n v="516"/>
    <n v="195"/>
    <n v="719"/>
    <n v="241"/>
  </r>
  <r>
    <s v="Jacob Slater"/>
    <x v="14"/>
    <x v="1"/>
    <n v="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Harrogate Town on loan until January."/>
    <n v="688"/>
    <n v="198"/>
    <n v="496"/>
    <n v="199"/>
    <n v="551"/>
    <n v="214"/>
    <n v="451"/>
    <n v="164"/>
  </r>
  <r>
    <s v="Aaron Ramsdale"/>
    <x v="13"/>
    <x v="3"/>
    <n v="4.8"/>
    <n v="0"/>
    <n v="0"/>
    <n v="0.6"/>
    <n v="0"/>
    <n v="0"/>
    <n v="13"/>
    <n v="0"/>
    <n v="2"/>
    <n v="1"/>
    <n v="0"/>
    <n v="0.9"/>
    <n v="0"/>
    <n v="0"/>
    <n v="0"/>
    <n v="0"/>
    <n v="0"/>
    <n v="0"/>
    <n v="0"/>
    <n v="1.82"/>
    <n v="0"/>
    <s v="No News"/>
    <n v="362"/>
    <n v="16"/>
    <n v="652"/>
    <n v="82"/>
    <n v="687"/>
    <n v="84"/>
    <n v="224"/>
    <n v="31"/>
  </r>
  <r>
    <s v="Sean Neave"/>
    <x v="13"/>
    <x v="0"/>
    <n v="4.4000000000000004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62"/>
    <n v="78"/>
    <n v="572"/>
    <n v="62"/>
    <n v="617"/>
    <n v="67"/>
    <n v="346"/>
    <n v="55"/>
  </r>
  <r>
    <s v="Benoît B.Badiashile"/>
    <x v="5"/>
    <x v="1"/>
    <n v="4.4000000000000004"/>
    <n v="0"/>
    <n v="0"/>
    <n v="0"/>
    <n v="0"/>
    <n v="0"/>
    <n v="65"/>
    <n v="0"/>
    <n v="2"/>
    <n v="0"/>
    <n v="0"/>
    <n v="1.8"/>
    <n v="0"/>
    <n v="0"/>
    <n v="0"/>
    <n v="0"/>
    <n v="0"/>
    <n v="0.02"/>
    <n v="0.02"/>
    <n v="2.17"/>
    <n v="1"/>
    <s v="Muscle injury - Expected back 22 Nov"/>
    <n v="513"/>
    <n v="121"/>
    <n v="536"/>
    <n v="222"/>
    <n v="583"/>
    <n v="232"/>
    <n v="675"/>
    <n v="229"/>
  </r>
  <r>
    <s v="Naouirou Ahamada"/>
    <x v="3"/>
    <x v="2"/>
    <n v="4.4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22"/>
    <n v="303"/>
    <n v="543"/>
    <n v="192"/>
    <n v="590"/>
    <n v="219"/>
    <n v="584"/>
    <n v="222"/>
  </r>
  <r>
    <s v="Rob Holding"/>
    <x v="3"/>
    <x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Colorado Rapids permanently."/>
    <n v="629"/>
    <n v="162"/>
    <n v="446"/>
    <n v="172"/>
    <n v="503"/>
    <n v="189"/>
    <n v="658"/>
    <n v="225"/>
  </r>
  <r>
    <s v="Caleb Kporha"/>
    <x v="3"/>
    <x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ck injury - Unknown return date"/>
    <n v="689"/>
    <n v="199"/>
    <n v="497"/>
    <n v="200"/>
    <n v="552"/>
    <n v="215"/>
    <n v="683"/>
    <n v="233"/>
  </r>
  <r>
    <s v="Cheick Doucouré"/>
    <x v="3"/>
    <x v="2"/>
    <n v="4.9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nee injury - Unknown return date"/>
    <n v="322"/>
    <n v="203"/>
    <n v="671"/>
    <n v="280"/>
    <n v="700"/>
    <n v="298"/>
    <n v="735"/>
    <n v="324"/>
  </r>
  <r>
    <s v="Odysseas Odysseas"/>
    <x v="13"/>
    <x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Sevilla on loan for the rest of the season."/>
    <n v="626"/>
    <n v="48"/>
    <n v="443"/>
    <n v="42"/>
    <n v="500"/>
    <n v="49"/>
    <n v="665"/>
    <n v="80"/>
  </r>
  <r>
    <s v="Mark Gillespie"/>
    <x v="13"/>
    <x v="3"/>
    <n v="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20"/>
    <n v="43"/>
    <n v="437"/>
    <n v="37"/>
    <n v="494"/>
    <n v="44"/>
    <n v="419"/>
    <n v="64"/>
  </r>
  <r>
    <s v="Yoane Wissa"/>
    <x v="13"/>
    <x v="0"/>
    <n v="7.3"/>
    <n v="0"/>
    <n v="0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s v="Knee injury - Expected back 22 Nov"/>
    <n v="26"/>
    <n v="10"/>
    <n v="745"/>
    <n v="82"/>
    <n v="750"/>
    <n v="83"/>
    <n v="235"/>
    <n v="36"/>
  </r>
  <r>
    <s v="Asher Agbinone"/>
    <x v="3"/>
    <x v="2"/>
    <n v="4.400000000000000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56"/>
    <n v="320"/>
    <n v="566"/>
    <n v="207"/>
    <n v="611"/>
    <n v="234"/>
    <n v="568"/>
    <n v="211"/>
  </r>
  <r>
    <s v="Malcolm Ebiowei"/>
    <x v="3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Blackpool permanently."/>
    <n v="424"/>
    <n v="252"/>
    <n v="592"/>
    <n v="224"/>
    <n v="635"/>
    <n v="250"/>
    <n v="733"/>
    <n v="323"/>
  </r>
  <r>
    <s v="Joe White"/>
    <x v="13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Leyton Orient on loan for the rest of the season."/>
    <n v="429"/>
    <n v="255"/>
    <n v="596"/>
    <n v="227"/>
    <n v="639"/>
    <n v="253"/>
    <n v="718"/>
    <n v="315"/>
  </r>
  <r>
    <s v="Ethan Wheatley"/>
    <x v="6"/>
    <x v="0"/>
    <n v="4.5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Northampton Town on loan for the rest of the season."/>
    <n v="464"/>
    <n v="62"/>
    <n v="622"/>
    <n v="64"/>
    <n v="665"/>
    <n v="69"/>
    <n v="474"/>
    <n v="67"/>
  </r>
  <r>
    <s v="Chido Obi"/>
    <x v="6"/>
    <x v="0"/>
    <n v="4.3"/>
    <n v="0"/>
    <n v="0"/>
    <n v="1.5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05"/>
    <n v="81"/>
    <n v="526"/>
    <n v="51"/>
    <n v="575"/>
    <n v="56"/>
    <n v="148"/>
    <n v="21"/>
  </r>
  <r>
    <s v="Jesurun J.Rak-Sakyi"/>
    <x v="3"/>
    <x v="2"/>
    <n v="4.4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Caykur Rizespor on loan for the rest of the season."/>
    <n v="521"/>
    <n v="302"/>
    <n v="542"/>
    <n v="191"/>
    <n v="589"/>
    <n v="218"/>
    <n v="603"/>
    <n v="239"/>
  </r>
  <r>
    <s v="Rasmus Højlund"/>
    <x v="6"/>
    <x v="0"/>
    <n v="6.3"/>
    <n v="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Napoli on loan for the rest of the season."/>
    <n v="75"/>
    <n v="23"/>
    <n v="736"/>
    <n v="77"/>
    <n v="743"/>
    <n v="79"/>
    <n v="315"/>
    <n v="51"/>
  </r>
  <r>
    <s v="Jack Moorhouse"/>
    <x v="6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Leyton Orient on loan for the rest of the season."/>
    <n v="456"/>
    <n v="274"/>
    <n v="615"/>
    <n v="244"/>
    <n v="658"/>
    <n v="270"/>
    <n v="657"/>
    <n v="274"/>
  </r>
  <r>
    <s v="Sékou Kone"/>
    <x v="6"/>
    <x v="2"/>
    <n v="4.400000000000000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64"/>
    <n v="325"/>
    <n v="574"/>
    <n v="212"/>
    <n v="619"/>
    <n v="239"/>
    <n v="496"/>
    <n v="174"/>
  </r>
  <r>
    <s v="Jack J.Fletcher"/>
    <x v="6"/>
    <x v="2"/>
    <n v="4.400000000000000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547"/>
    <n v="314"/>
    <n v="560"/>
    <n v="202"/>
    <n v="605"/>
    <n v="229"/>
    <n v="566"/>
    <n v="210"/>
  </r>
  <r>
    <s v="Chadi Chadi Riad"/>
    <x v="3"/>
    <x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71"/>
    <n v="187"/>
    <n v="479"/>
    <n v="188"/>
    <n v="536"/>
    <n v="205"/>
    <n v="702"/>
    <n v="237"/>
  </r>
  <r>
    <s v="Emil Krafth"/>
    <x v="13"/>
    <x v="1"/>
    <n v="4.3"/>
    <n v="0"/>
    <n v="0"/>
    <n v="0"/>
    <n v="0"/>
    <n v="0"/>
    <n v="45"/>
    <n v="0"/>
    <n v="2"/>
    <n v="0"/>
    <n v="0"/>
    <n v="0.3"/>
    <n v="0"/>
    <n v="0"/>
    <n v="0"/>
    <n v="0"/>
    <n v="0"/>
    <n v="0"/>
    <n v="0"/>
    <n v="0.25"/>
    <n v="1"/>
    <s v="No News"/>
    <n v="575"/>
    <n v="136"/>
    <n v="511"/>
    <n v="211"/>
    <n v="562"/>
    <n v="223"/>
    <n v="582"/>
    <n v="210"/>
  </r>
  <r>
    <s v="Remi Matthews"/>
    <x v="3"/>
    <x v="3"/>
    <n v="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32"/>
    <n v="51"/>
    <n v="449"/>
    <n v="45"/>
    <n v="506"/>
    <n v="52"/>
    <n v="463"/>
    <n v="73"/>
  </r>
  <r>
    <s v="Alex A.Murphy"/>
    <x v="13"/>
    <x v="1"/>
    <n v="3.9"/>
    <n v="0"/>
    <n v="0"/>
    <n v="0.6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34"/>
    <n v="232"/>
    <n v="422"/>
    <n v="159"/>
    <n v="479"/>
    <n v="176"/>
    <n v="221"/>
    <n v="82"/>
  </r>
  <r>
    <s v="Mamadou M.Sarr"/>
    <x v="5"/>
    <x v="1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RC Strasbourg on loan for the rest of the season."/>
    <n v="463"/>
    <n v="98"/>
    <n v="621"/>
    <n v="231"/>
    <n v="664"/>
    <n v="240"/>
    <n v="707"/>
    <n v="238"/>
  </r>
  <r>
    <s v="Garang Kuol"/>
    <x v="13"/>
    <x v="2"/>
    <n v="4.4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Sparta Prague permanently."/>
    <n v="554"/>
    <n v="319"/>
    <n v="565"/>
    <n v="206"/>
    <n v="610"/>
    <n v="233"/>
    <n v="594"/>
    <n v="232"/>
  </r>
  <r>
    <s v="Isaac Hayden"/>
    <x v="13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departed the club as a free agent."/>
    <n v="399"/>
    <n v="244"/>
    <n v="580"/>
    <n v="216"/>
    <n v="625"/>
    <n v="243"/>
    <n v="711"/>
    <n v="309"/>
  </r>
  <r>
    <s v="Aarón Anselmino"/>
    <x v="5"/>
    <x v="1"/>
    <n v="4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Borussia Dortmund on loan for the rest of the season."/>
    <n v="692"/>
    <n v="202"/>
    <n v="500"/>
    <n v="203"/>
    <n v="555"/>
    <n v="218"/>
    <n v="544"/>
    <n v="195"/>
  </r>
  <r>
    <s v="Antoñito Antoñito C."/>
    <x v="13"/>
    <x v="2"/>
    <n v="4.9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KVC Westerlo on loan for the rest of the season."/>
    <n v="347"/>
    <n v="221"/>
    <n v="680"/>
    <n v="286"/>
    <n v="707"/>
    <n v="303"/>
    <n v="646"/>
    <n v="267"/>
  </r>
  <r>
    <s v="Christopher Nkunku"/>
    <x v="5"/>
    <x v="2"/>
    <n v="5.9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AC Milan permanently."/>
    <n v="99"/>
    <n v="66"/>
    <n v="731"/>
    <n v="322"/>
    <n v="740"/>
    <n v="327"/>
    <n v="483"/>
    <n v="168"/>
  </r>
  <r>
    <s v="Mykhailo Mudryk"/>
    <x v="5"/>
    <x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spended - unknown return date"/>
    <n v="270"/>
    <n v="166"/>
    <n v="687"/>
    <n v="291"/>
    <n v="713"/>
    <n v="308"/>
    <n v="705"/>
    <n v="305"/>
  </r>
  <r>
    <s v="Dário D.Essugo"/>
    <x v="5"/>
    <x v="2"/>
    <n v="4.3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Thigh injury - Expected back 04 Jan"/>
    <n v="596"/>
    <n v="331"/>
    <n v="521"/>
    <n v="184"/>
    <n v="571"/>
    <n v="212"/>
    <n v="519"/>
    <n v="184"/>
  </r>
  <r>
    <s v="Kendry Paez"/>
    <x v="5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RC Strasbourg on loan for the rest of the season."/>
    <n v="480"/>
    <n v="291"/>
    <n v="636"/>
    <n v="259"/>
    <n v="677"/>
    <n v="283"/>
    <n v="723"/>
    <n v="317"/>
  </r>
  <r>
    <s v="Nicolas N.Jackson"/>
    <x v="5"/>
    <x v="0"/>
    <n v="6.5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Bayern Munich on loan for the rest of the season."/>
    <n v="59"/>
    <n v="19"/>
    <n v="740"/>
    <n v="80"/>
    <n v="747"/>
    <n v="82"/>
    <n v="498"/>
    <n v="68"/>
  </r>
  <r>
    <s v="Landon Emenalo"/>
    <x v="5"/>
    <x v="2"/>
    <n v="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481"/>
    <n v="292"/>
    <n v="637"/>
    <n v="260"/>
    <n v="678"/>
    <n v="284"/>
    <n v="712"/>
    <n v="310"/>
  </r>
  <r>
    <s v="Walter Benitez"/>
    <x v="3"/>
    <x v="3"/>
    <n v="4"/>
    <n v="0"/>
    <n v="0"/>
    <n v="0.3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627"/>
    <n v="49"/>
    <n v="444"/>
    <n v="43"/>
    <n v="501"/>
    <n v="50"/>
    <n v="300"/>
    <n v="42"/>
  </r>
  <r>
    <s v="Matt Targett"/>
    <x v="13"/>
    <x v="1"/>
    <n v="4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has joined Middlesbrough on loan for the rest of the season."/>
    <n v="631"/>
    <n v="164"/>
    <n v="448"/>
    <n v="174"/>
    <n v="505"/>
    <n v="191"/>
    <n v="370"/>
    <n v="132"/>
  </r>
  <r>
    <s v="Miodrag Pivas"/>
    <x v="13"/>
    <x v="1"/>
    <n v="3.9"/>
    <n v="0"/>
    <n v="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s v="No News"/>
    <n v="742"/>
    <n v="240"/>
    <n v="428"/>
    <n v="165"/>
    <n v="485"/>
    <n v="182"/>
    <n v="354"/>
    <n v="127"/>
  </r>
  <r>
    <s v="Harrison Ashby"/>
    <x v="13"/>
    <x v="1"/>
    <n v="3.9"/>
    <n v="0"/>
    <n v="0"/>
    <n v="0.1"/>
    <n v="0"/>
    <n v="0"/>
    <n v="0"/>
    <n v="0"/>
    <n v="0"/>
    <n v="0"/>
    <n v="0"/>
    <n v="0"/>
    <n v="0"/>
    <n v="0"/>
    <n v="0"/>
    <n v="0"/>
    <n v="0"/>
    <n v="0"/>
    <n v="0"/>
    <n v="0"/>
    <n v="0"/>
    <s v="Thigh injury - Unknown return date"/>
    <n v="713"/>
    <n v="218"/>
    <n v="402"/>
    <n v="146"/>
    <n v="460"/>
    <n v="164"/>
    <n v="422"/>
    <n v="156"/>
  </r>
  <r>
    <s v="Illan Meslier"/>
    <x v="17"/>
    <x v="3"/>
    <n v="4.3"/>
    <n v="0"/>
    <n v="0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s v=""/>
    <n v="588"/>
    <n v="36"/>
    <n v="518"/>
    <n v="73"/>
    <n v="568"/>
    <n v="78"/>
    <n v="268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AA3DE-92AF-6446-BB69-9CCCF2712C0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osition">
  <location ref="A2:B7" firstHeaderRow="1" firstDataRow="1" firstDataCol="1"/>
  <pivotFields count="33">
    <pivotField showAll="0"/>
    <pivotField showAll="0">
      <items count="21">
        <item x="1"/>
        <item x="12"/>
        <item x="2"/>
        <item x="4"/>
        <item x="14"/>
        <item x="11"/>
        <item x="5"/>
        <item x="3"/>
        <item x="9"/>
        <item x="15"/>
        <item x="17"/>
        <item x="10"/>
        <item x="0"/>
        <item x="6"/>
        <item x="13"/>
        <item x="18"/>
        <item x="7"/>
        <item x="8"/>
        <item x="16"/>
        <item x="19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otal Points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A298C9-9513-2445-97ED-063F5251B7E0}" autoFormatId="16" applyNumberFormats="0" applyBorderFormats="0" applyFontFormats="0" applyPatternFormats="0" applyAlignmentFormats="0" applyWidthHeightFormats="0">
  <queryTableRefresh nextId="40" unboundColumnsRight="6">
    <queryTableFields count="39">
      <queryTableField id="1" name="Player Name" tableColumnId="1"/>
      <queryTableField id="2" name="Club Name" tableColumnId="2"/>
      <queryTableField id="3" name="Position Name" tableColumnId="3"/>
      <queryTableField id="4" name="Now Cost" tableColumnId="4"/>
      <queryTableField id="5" name="Total Points" tableColumnId="5"/>
      <queryTableField id="6" name="Points Per Game" tableColumnId="6"/>
      <queryTableField id="7" name="Selected By Percent" tableColumnId="7"/>
      <queryTableField id="8" name="Goals Scored" tableColumnId="8"/>
      <queryTableField id="9" name="Assists" tableColumnId="9"/>
      <queryTableField id="10" name="Minutes" tableColumnId="10"/>
      <queryTableField id="11" name="Clean Sheets" tableColumnId="11"/>
      <queryTableField id="12" name="Goals Conceded" tableColumnId="12"/>
      <queryTableField id="13" name="Saves" tableColumnId="13"/>
      <queryTableField id="14" name="Bonus" tableColumnId="14"/>
      <queryTableField id="15" name="Ict Index" tableColumnId="15"/>
      <queryTableField id="16" name="Form" tableColumnId="16"/>
      <queryTableField id="17" name="Dreamteam Count" tableColumnId="17"/>
      <queryTableField id="18" name="Value Form" tableColumnId="18"/>
      <queryTableField id="19" name="Value Season" tableColumnId="19"/>
      <queryTableField id="20" name="Expected Goals" tableColumnId="20"/>
      <queryTableField id="21" name="Expected Assists" tableColumnId="21"/>
      <queryTableField id="22" name="Expected Goal Involvements" tableColumnId="22"/>
      <queryTableField id="23" name="Expected Goals Conceded" tableColumnId="23"/>
      <queryTableField id="24" name="Starts" tableColumnId="24"/>
      <queryTableField id="25" name="News" tableColumnId="25"/>
      <queryTableField id="26" name="Now Cost Rank" tableColumnId="26"/>
      <queryTableField id="27" name="Now Cost Rank Type" tableColumnId="27"/>
      <queryTableField id="28" name="Form Rank" tableColumnId="28"/>
      <queryTableField id="29" name="Form Rank Type" tableColumnId="29"/>
      <queryTableField id="30" name="Points Per Game Rank" tableColumnId="30"/>
      <queryTableField id="31" name="Points Per Game Rank Type" tableColumnId="31"/>
      <queryTableField id="32" name="Selected Rank" tableColumnId="32"/>
      <queryTableField id="33" name="Selected Rank Type" tableColumnId="33"/>
      <queryTableField id="34" dataBound="0" tableColumnId="34"/>
      <queryTableField id="35" dataBound="0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0B5BC7-BFDB-8146-982C-909AEAB3E2D7}" name="fpl_player_statistics_cleaned" displayName="fpl_player_statistics_cleaned" ref="A1:AM753" tableType="queryTable" totalsRowShown="0">
  <autoFilter ref="A1:AM753" xr:uid="{BD0B5BC7-BFDB-8146-982C-909AEAB3E2D7}">
    <filterColumn colId="24">
      <filters blank="1"/>
    </filterColumn>
  </autoFilter>
  <sortState xmlns:xlrd2="http://schemas.microsoft.com/office/spreadsheetml/2017/richdata2" ref="A2:AG753">
    <sortCondition descending="1" ref="E1:E753"/>
  </sortState>
  <tableColumns count="39">
    <tableColumn id="1" xr3:uid="{53D799E8-015A-8240-9E6D-C25F47F89707}" uniqueName="1" name="Player Name" queryTableFieldId="1" dataDxfId="3"/>
    <tableColumn id="2" xr3:uid="{D1A7E8C1-9FA3-F548-A589-070492464128}" uniqueName="2" name="Club Name" queryTableFieldId="2" dataDxfId="2"/>
    <tableColumn id="3" xr3:uid="{B5FFAA42-5176-2B42-8D64-33D861EEE54F}" uniqueName="3" name="Position Name" queryTableFieldId="3" dataDxfId="1"/>
    <tableColumn id="4" xr3:uid="{A273F31A-DB20-8442-82F9-717BE008D229}" uniqueName="4" name="Now Cost" queryTableFieldId="4"/>
    <tableColumn id="5" xr3:uid="{6A093236-46F0-CA43-B21A-48A51E6D3252}" uniqueName="5" name="Total Points" queryTableFieldId="5"/>
    <tableColumn id="6" xr3:uid="{D44BD3AB-9A94-C543-9986-99044C0347BE}" uniqueName="6" name="Points Per Game" queryTableFieldId="6"/>
    <tableColumn id="7" xr3:uid="{96E84C20-1119-3444-8B90-876D931769EA}" uniqueName="7" name="Selected By Percent" queryTableFieldId="7"/>
    <tableColumn id="8" xr3:uid="{C5C97274-267A-A545-9DC4-315DA58747B4}" uniqueName="8" name="Goals Scored" queryTableFieldId="8"/>
    <tableColumn id="9" xr3:uid="{6EBF92A2-3BEA-424F-856C-C24E7518F758}" uniqueName="9" name="Assists" queryTableFieldId="9"/>
    <tableColumn id="10" xr3:uid="{6AF15890-7C6E-5349-AF2E-A17ABB1D00FC}" uniqueName="10" name="Minutes" queryTableFieldId="10"/>
    <tableColumn id="11" xr3:uid="{D8FCEDFC-09DD-4D44-9B0E-22C99F4D36CC}" uniqueName="11" name="Clean Sheets" queryTableFieldId="11"/>
    <tableColumn id="12" xr3:uid="{24284F7E-1BD3-C641-9682-818AFA0238BD}" uniqueName="12" name="Goals Conceded" queryTableFieldId="12"/>
    <tableColumn id="13" xr3:uid="{CFFA7F39-6E06-394E-BE0D-A7063083F65A}" uniqueName="13" name="Saves" queryTableFieldId="13"/>
    <tableColumn id="14" xr3:uid="{FDB56517-1901-6149-82A2-9A167460F03D}" uniqueName="14" name="Bonus" queryTableFieldId="14"/>
    <tableColumn id="15" xr3:uid="{75DAF55E-3321-0548-8DD2-16F6D59E289C}" uniqueName="15" name="Ict Index" queryTableFieldId="15"/>
    <tableColumn id="16" xr3:uid="{4A9B5134-7605-2445-9193-BDF6E5E2A7F2}" uniqueName="16" name="Form" queryTableFieldId="16"/>
    <tableColumn id="17" xr3:uid="{5DA4160F-FCFA-884B-9B0E-FEB840073DAA}" uniqueName="17" name="Dreamteam Count" queryTableFieldId="17"/>
    <tableColumn id="18" xr3:uid="{AB647695-D0EC-1140-B16A-97448C86401C}" uniqueName="18" name="Value Form" queryTableFieldId="18"/>
    <tableColumn id="19" xr3:uid="{6E8F40C6-1D57-A34D-BE50-68560318912B}" uniqueName="19" name="Value Season" queryTableFieldId="19"/>
    <tableColumn id="20" xr3:uid="{C38C9356-3D15-1E4E-86A6-D4174AA22A6D}" uniqueName="20" name="Expected Goals" queryTableFieldId="20"/>
    <tableColumn id="21" xr3:uid="{9EBE11BE-191C-BA40-9D0D-A7F3B6F11658}" uniqueName="21" name="Expected Assists" queryTableFieldId="21"/>
    <tableColumn id="22" xr3:uid="{82C55E11-7889-0744-B0E7-05D2A3B221D2}" uniqueName="22" name="Expected Goal Involvements" queryTableFieldId="22"/>
    <tableColumn id="23" xr3:uid="{140C9927-276A-3D41-B2B5-35174C7F2C8A}" uniqueName="23" name="Expected Goals Conceded" queryTableFieldId="23"/>
    <tableColumn id="24" xr3:uid="{9DB2DF73-03D8-B84B-B6FF-C4F0D642B213}" uniqueName="24" name="Starts" queryTableFieldId="24"/>
    <tableColumn id="25" xr3:uid="{5548F8AA-9D68-D747-8C9E-AD2DC298DFE7}" uniqueName="25" name="News" queryTableFieldId="25" dataDxfId="0"/>
    <tableColumn id="26" xr3:uid="{AF97A051-493D-4142-B726-F7300C803E0B}" uniqueName="26" name="Now Cost Rank" queryTableFieldId="26"/>
    <tableColumn id="27" xr3:uid="{3E56B7E4-AF16-E042-8525-38C13FBC9820}" uniqueName="27" name="Now Cost Rank Type" queryTableFieldId="27"/>
    <tableColumn id="28" xr3:uid="{764B63A3-831F-8641-8731-7FA5CD3F90B6}" uniqueName="28" name="Form Rank" queryTableFieldId="28"/>
    <tableColumn id="29" xr3:uid="{07214B45-EE46-3247-8A7C-185C956BEA13}" uniqueName="29" name="Form Rank Type" queryTableFieldId="29"/>
    <tableColumn id="30" xr3:uid="{C39BF320-CC41-044C-B5DE-AC0C60587882}" uniqueName="30" name="Points Per Game Rank" queryTableFieldId="30"/>
    <tableColumn id="31" xr3:uid="{852F7EA7-AB78-1042-85FA-E93913B467FE}" uniqueName="31" name="Points Per Game Rank Type" queryTableFieldId="31"/>
    <tableColumn id="32" xr3:uid="{BBEDE12F-2CB6-0B4E-96BB-3305B1CC6D7A}" uniqueName="32" name="Selected Rank" queryTableFieldId="32"/>
    <tableColumn id="33" xr3:uid="{1AB39331-51A0-594E-BA70-47821C05A281}" uniqueName="33" name="Selected Rank Type" queryTableFieldId="33"/>
    <tableColumn id="34" xr3:uid="{BCCBB19A-C9CB-C442-9F8D-B613C771A07D}" uniqueName="34" name="Points per Million" queryTableFieldId="34"/>
    <tableColumn id="35" xr3:uid="{A91460E5-512B-454D-A36C-AB28706A0977}" uniqueName="35" name="Attack Involvement" queryTableFieldId="35"/>
    <tableColumn id="36" xr3:uid="{47326A76-C228-074D-A886-9AF6F5D07348}" uniqueName="36" name="Points per Start" queryTableFieldId="36"/>
    <tableColumn id="37" xr3:uid="{52D4C784-220E-5E4A-9450-D205B0356974}" uniqueName="37" name="ROI (Return on Investment)" queryTableFieldId="37"/>
    <tableColumn id="38" xr3:uid="{C684D71C-7ED3-1647-BE7F-B6C2141E7AD4}" uniqueName="38" name="Minutes per Point" queryTableFieldId="38"/>
    <tableColumn id="39" xr3:uid="{D32D0D01-3D5C-2C45-8DCA-1E3B2842932F}" uniqueName="39" name="Smart Player Selector" queryTableFieldId="3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0664-E8A8-4B4C-8D26-91FA4C6F32DA}">
  <dimension ref="A2:B7"/>
  <sheetViews>
    <sheetView workbookViewId="0">
      <selection activeCell="B2" sqref="B2"/>
    </sheetView>
  </sheetViews>
  <sheetFormatPr baseColWidth="10" defaultRowHeight="16" x14ac:dyDescent="0.2"/>
  <cols>
    <col min="1" max="1" width="10.5" bestFit="1" customWidth="1"/>
    <col min="2" max="2" width="20" bestFit="1" customWidth="1"/>
  </cols>
  <sheetData>
    <row r="2" spans="1:2" x14ac:dyDescent="0.2">
      <c r="A2" s="1" t="s">
        <v>1003</v>
      </c>
      <c r="B2" t="s">
        <v>1002</v>
      </c>
    </row>
    <row r="3" spans="1:2" x14ac:dyDescent="0.2">
      <c r="A3" s="2" t="s">
        <v>38</v>
      </c>
      <c r="B3" s="3">
        <v>14.068273092369479</v>
      </c>
    </row>
    <row r="4" spans="1:2" x14ac:dyDescent="0.2">
      <c r="A4" s="2" t="s">
        <v>35</v>
      </c>
      <c r="B4" s="3">
        <v>13.180722891566266</v>
      </c>
    </row>
    <row r="5" spans="1:2" x14ac:dyDescent="0.2">
      <c r="A5" s="2" t="s">
        <v>55</v>
      </c>
      <c r="B5" s="3">
        <v>8.7093023255813957</v>
      </c>
    </row>
    <row r="6" spans="1:2" x14ac:dyDescent="0.2">
      <c r="A6" s="2" t="s">
        <v>41</v>
      </c>
      <c r="B6" s="3">
        <v>13.988023952095809</v>
      </c>
    </row>
    <row r="7" spans="1:2" x14ac:dyDescent="0.2">
      <c r="A7" s="2" t="s">
        <v>1001</v>
      </c>
      <c r="B7" s="3">
        <v>13.321808510638299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5039-E665-244C-A6F0-F9AF968106AE}">
  <dimension ref="A1:AM753"/>
  <sheetViews>
    <sheetView tabSelected="1" workbookViewId="0">
      <selection activeCell="AO1" sqref="AO1"/>
    </sheetView>
  </sheetViews>
  <sheetFormatPr baseColWidth="10" defaultRowHeight="16" x14ac:dyDescent="0.2"/>
  <cols>
    <col min="1" max="1" width="25.5" bestFit="1" customWidth="1"/>
    <col min="2" max="2" width="12.83203125" bestFit="1" customWidth="1"/>
    <col min="3" max="3" width="15.83203125" bestFit="1" customWidth="1"/>
    <col min="4" max="4" width="11.6640625" bestFit="1" customWidth="1"/>
    <col min="5" max="5" width="13.33203125" bestFit="1" customWidth="1"/>
    <col min="6" max="6" width="17.5" bestFit="1" customWidth="1"/>
    <col min="7" max="7" width="20.1640625" bestFit="1" customWidth="1"/>
    <col min="8" max="8" width="14.5" bestFit="1" customWidth="1"/>
    <col min="9" max="9" width="10" bestFit="1" customWidth="1"/>
    <col min="10" max="10" width="10.33203125" bestFit="1" customWidth="1"/>
    <col min="11" max="11" width="14.5" bestFit="1" customWidth="1"/>
    <col min="12" max="12" width="17.1640625" bestFit="1" customWidth="1"/>
    <col min="13" max="13" width="8.5" bestFit="1" customWidth="1"/>
    <col min="14" max="14" width="8.83203125" bestFit="1" customWidth="1"/>
    <col min="15" max="15" width="10.5" bestFit="1" customWidth="1"/>
    <col min="16" max="16" width="8" bestFit="1" customWidth="1"/>
    <col min="17" max="17" width="19.1640625" bestFit="1" customWidth="1"/>
    <col min="18" max="18" width="13" bestFit="1" customWidth="1"/>
    <col min="19" max="19" width="14.6640625" bestFit="1" customWidth="1"/>
    <col min="20" max="20" width="16.33203125" bestFit="1" customWidth="1"/>
    <col min="21" max="21" width="17.83203125" bestFit="1" customWidth="1"/>
    <col min="22" max="22" width="27" bestFit="1" customWidth="1"/>
    <col min="23" max="23" width="25.33203125" bestFit="1" customWidth="1"/>
    <col min="24" max="24" width="8.6640625" bestFit="1" customWidth="1"/>
    <col min="25" max="25" width="55.83203125" bestFit="1" customWidth="1"/>
    <col min="26" max="26" width="16.1640625" bestFit="1" customWidth="1"/>
    <col min="27" max="27" width="20.33203125" bestFit="1" customWidth="1"/>
    <col min="28" max="28" width="12.5" bestFit="1" customWidth="1"/>
    <col min="29" max="29" width="16.5" bestFit="1" customWidth="1"/>
    <col min="30" max="30" width="22.1640625" bestFit="1" customWidth="1"/>
    <col min="31" max="31" width="26.33203125" bestFit="1" customWidth="1"/>
    <col min="32" max="32" width="15.33203125" bestFit="1" customWidth="1"/>
    <col min="33" max="33" width="19.5" bestFit="1" customWidth="1"/>
    <col min="34" max="34" width="17.83203125" bestFit="1" customWidth="1"/>
    <col min="35" max="35" width="19.6640625" bestFit="1" customWidth="1"/>
    <col min="36" max="36" width="16.33203125" bestFit="1" customWidth="1"/>
    <col min="37" max="37" width="26.1640625" bestFit="1" customWidth="1"/>
    <col min="38" max="38" width="18" bestFit="1" customWidth="1"/>
    <col min="39" max="39" width="21.5" bestFit="1" customWidth="1"/>
  </cols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1004</v>
      </c>
      <c r="AI1" s="4" t="s">
        <v>1005</v>
      </c>
      <c r="AJ1" t="s">
        <v>1006</v>
      </c>
      <c r="AK1" t="s">
        <v>1007</v>
      </c>
      <c r="AL1" t="s">
        <v>1008</v>
      </c>
      <c r="AM1" t="s">
        <v>1009</v>
      </c>
    </row>
    <row r="2" spans="1:39" x14ac:dyDescent="0.2">
      <c r="A2" t="s">
        <v>33</v>
      </c>
      <c r="B2" t="s">
        <v>34</v>
      </c>
      <c r="C2" t="s">
        <v>35</v>
      </c>
      <c r="D2">
        <v>14.8</v>
      </c>
      <c r="E2">
        <v>102</v>
      </c>
      <c r="F2">
        <v>9.3000000000000007</v>
      </c>
      <c r="G2">
        <v>70.5</v>
      </c>
      <c r="H2">
        <v>14</v>
      </c>
      <c r="I2">
        <v>1</v>
      </c>
      <c r="J2">
        <v>944</v>
      </c>
      <c r="K2">
        <v>6</v>
      </c>
      <c r="L2">
        <v>7</v>
      </c>
      <c r="M2">
        <v>0</v>
      </c>
      <c r="N2">
        <v>23</v>
      </c>
      <c r="O2">
        <v>124.1</v>
      </c>
      <c r="P2">
        <v>8</v>
      </c>
      <c r="Q2">
        <v>5</v>
      </c>
      <c r="R2">
        <v>0.5</v>
      </c>
      <c r="S2">
        <v>6.9</v>
      </c>
      <c r="T2">
        <v>11.03</v>
      </c>
      <c r="U2">
        <v>0.7</v>
      </c>
      <c r="V2">
        <v>11.73</v>
      </c>
      <c r="W2">
        <v>10.23</v>
      </c>
      <c r="X2">
        <v>11</v>
      </c>
      <c r="Y2" t="s">
        <v>1000</v>
      </c>
      <c r="Z2">
        <v>1</v>
      </c>
      <c r="AA2">
        <v>1</v>
      </c>
      <c r="AB2">
        <v>5</v>
      </c>
      <c r="AC2">
        <v>1</v>
      </c>
      <c r="AD2">
        <v>1</v>
      </c>
      <c r="AE2">
        <v>1</v>
      </c>
      <c r="AF2">
        <v>1</v>
      </c>
      <c r="AG2">
        <v>1</v>
      </c>
      <c r="AH2">
        <f>fpl_player_statistics_cleaned[[#This Row],[Total Points]] / fpl_player_statistics_cleaned[[#This Row],[Now Cost]]</f>
        <v>6.8918918918918912</v>
      </c>
      <c r="AI2">
        <f>fpl_player_statistics_cleaned[[#This Row],[Goals Scored]] + fpl_player_statistics_cleaned[[#This Row],[Assists]]</f>
        <v>15</v>
      </c>
      <c r="AJ2">
        <f>fpl_player_statistics_cleaned[[#This Row],[Total Points]] / fpl_player_statistics_cleaned[[#This Row],[Starts]]</f>
        <v>9.2727272727272734</v>
      </c>
      <c r="AK2">
        <f>((fpl_player_statistics_cleaned[[#This Row],[Points Per Game]]) * fpl_player_statistics_cleaned[[#This Row],[Form]]) / fpl_player_statistics_cleaned[[#This Row],[Now Cost]]</f>
        <v>5.0270270270270272</v>
      </c>
      <c r="AL2">
        <f>fpl_player_statistics_cleaned[[#This Row],[Minutes]] / fpl_player_statistics_cleaned[[#This Row],[Total Points]]</f>
        <v>9.2549019607843146</v>
      </c>
      <c r="AM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512.75675675675677</v>
      </c>
    </row>
    <row r="3" spans="1:39" x14ac:dyDescent="0.2">
      <c r="A3" t="s">
        <v>36</v>
      </c>
      <c r="B3" t="s">
        <v>37</v>
      </c>
      <c r="C3" t="s">
        <v>38</v>
      </c>
      <c r="D3">
        <v>6.6</v>
      </c>
      <c r="E3">
        <v>81</v>
      </c>
      <c r="F3">
        <v>7.4</v>
      </c>
      <c r="G3">
        <v>43.5</v>
      </c>
      <c r="H3">
        <v>1</v>
      </c>
      <c r="I3">
        <v>2</v>
      </c>
      <c r="J3">
        <v>990</v>
      </c>
      <c r="K3">
        <v>7</v>
      </c>
      <c r="L3">
        <v>5</v>
      </c>
      <c r="M3">
        <v>0</v>
      </c>
      <c r="N3">
        <v>13</v>
      </c>
      <c r="O3">
        <v>46.9</v>
      </c>
      <c r="P3">
        <v>8.5</v>
      </c>
      <c r="Q3">
        <v>3</v>
      </c>
      <c r="R3">
        <v>1.3</v>
      </c>
      <c r="S3">
        <v>12.3</v>
      </c>
      <c r="T3">
        <v>0.82</v>
      </c>
      <c r="U3">
        <v>0.69</v>
      </c>
      <c r="V3">
        <v>1.51</v>
      </c>
      <c r="W3">
        <v>6.17</v>
      </c>
      <c r="X3">
        <v>11</v>
      </c>
      <c r="Y3" t="s">
        <v>1000</v>
      </c>
      <c r="Z3">
        <v>52</v>
      </c>
      <c r="AA3">
        <v>1</v>
      </c>
      <c r="AB3">
        <v>1</v>
      </c>
      <c r="AC3">
        <v>1</v>
      </c>
      <c r="AD3">
        <v>2</v>
      </c>
      <c r="AE3">
        <v>1</v>
      </c>
      <c r="AF3">
        <v>4</v>
      </c>
      <c r="AG3">
        <v>1</v>
      </c>
      <c r="AH3">
        <f>fpl_player_statistics_cleaned[[#This Row],[Total Points]] / fpl_player_statistics_cleaned[[#This Row],[Now Cost]]</f>
        <v>12.272727272727273</v>
      </c>
      <c r="AI3">
        <f>fpl_player_statistics_cleaned[[#This Row],[Goals Scored]] + fpl_player_statistics_cleaned[[#This Row],[Assists]]</f>
        <v>3</v>
      </c>
      <c r="AJ3">
        <f>fpl_player_statistics_cleaned[[#This Row],[Total Points]] / fpl_player_statistics_cleaned[[#This Row],[Starts]]</f>
        <v>7.3636363636363633</v>
      </c>
      <c r="AK3">
        <f>((fpl_player_statistics_cleaned[[#This Row],[Points Per Game]]) * fpl_player_statistics_cleaned[[#This Row],[Form]]) / fpl_player_statistics_cleaned[[#This Row],[Now Cost]]</f>
        <v>9.5303030303030312</v>
      </c>
      <c r="AL3">
        <f>fpl_player_statistics_cleaned[[#This Row],[Minutes]] / fpl_player_statistics_cleaned[[#This Row],[Total Points]]</f>
        <v>12.222222222222221</v>
      </c>
      <c r="AM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771.95454545454561</v>
      </c>
    </row>
    <row r="4" spans="1:39" x14ac:dyDescent="0.2">
      <c r="A4" t="s">
        <v>39</v>
      </c>
      <c r="B4" t="s">
        <v>40</v>
      </c>
      <c r="C4" t="s">
        <v>41</v>
      </c>
      <c r="D4">
        <v>8.1</v>
      </c>
      <c r="E4">
        <v>75</v>
      </c>
      <c r="F4">
        <v>6.8</v>
      </c>
      <c r="G4">
        <v>64.400000000000006</v>
      </c>
      <c r="H4">
        <v>6</v>
      </c>
      <c r="I4">
        <v>4</v>
      </c>
      <c r="J4">
        <v>990</v>
      </c>
      <c r="K4">
        <v>4</v>
      </c>
      <c r="L4">
        <v>18</v>
      </c>
      <c r="M4">
        <v>0</v>
      </c>
      <c r="N4">
        <v>9</v>
      </c>
      <c r="O4">
        <v>79.7</v>
      </c>
      <c r="P4">
        <v>2.2000000000000002</v>
      </c>
      <c r="Q4">
        <v>3</v>
      </c>
      <c r="R4">
        <v>0.3</v>
      </c>
      <c r="S4">
        <v>9.3000000000000007</v>
      </c>
      <c r="T4">
        <v>4.63</v>
      </c>
      <c r="U4">
        <v>0.46</v>
      </c>
      <c r="V4">
        <v>5.09</v>
      </c>
      <c r="W4">
        <v>15.05</v>
      </c>
      <c r="X4">
        <v>11</v>
      </c>
      <c r="Y4" t="s">
        <v>1000</v>
      </c>
      <c r="Z4">
        <v>13</v>
      </c>
      <c r="AA4">
        <v>8</v>
      </c>
      <c r="AB4">
        <v>181</v>
      </c>
      <c r="AC4">
        <v>87</v>
      </c>
      <c r="AD4">
        <v>3</v>
      </c>
      <c r="AE4">
        <v>1</v>
      </c>
      <c r="AF4">
        <v>2</v>
      </c>
      <c r="AG4">
        <v>1</v>
      </c>
      <c r="AH4">
        <f>fpl_player_statistics_cleaned[[#This Row],[Total Points]] / fpl_player_statistics_cleaned[[#This Row],[Now Cost]]</f>
        <v>9.2592592592592595</v>
      </c>
      <c r="AI4">
        <f>fpl_player_statistics_cleaned[[#This Row],[Goals Scored]] + fpl_player_statistics_cleaned[[#This Row],[Assists]]</f>
        <v>10</v>
      </c>
      <c r="AJ4">
        <f>fpl_player_statistics_cleaned[[#This Row],[Total Points]] / fpl_player_statistics_cleaned[[#This Row],[Starts]]</f>
        <v>6.8181818181818183</v>
      </c>
      <c r="AK4">
        <f>((fpl_player_statistics_cleaned[[#This Row],[Points Per Game]]) * fpl_player_statistics_cleaned[[#This Row],[Form]]) / fpl_player_statistics_cleaned[[#This Row],[Now Cost]]</f>
        <v>1.8469135802469139</v>
      </c>
      <c r="AL4">
        <f>fpl_player_statistics_cleaned[[#This Row],[Minutes]] / fpl_player_statistics_cleaned[[#This Row],[Total Points]]</f>
        <v>13.2</v>
      </c>
      <c r="AM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138.5185185185185</v>
      </c>
    </row>
    <row r="5" spans="1:39" x14ac:dyDescent="0.2">
      <c r="A5" t="s">
        <v>899</v>
      </c>
      <c r="B5" t="s">
        <v>37</v>
      </c>
      <c r="C5" t="s">
        <v>38</v>
      </c>
      <c r="D5">
        <v>6.1</v>
      </c>
      <c r="E5">
        <v>67</v>
      </c>
      <c r="F5">
        <v>6.1</v>
      </c>
      <c r="G5">
        <v>25.6</v>
      </c>
      <c r="H5">
        <v>2</v>
      </c>
      <c r="I5">
        <v>2</v>
      </c>
      <c r="J5">
        <v>881</v>
      </c>
      <c r="K5">
        <v>6</v>
      </c>
      <c r="L5">
        <v>5</v>
      </c>
      <c r="M5">
        <v>0</v>
      </c>
      <c r="N5">
        <v>7</v>
      </c>
      <c r="O5">
        <v>63.5</v>
      </c>
      <c r="P5">
        <v>4.8</v>
      </c>
      <c r="Q5">
        <v>2</v>
      </c>
      <c r="R5">
        <v>0.8</v>
      </c>
      <c r="S5">
        <v>11</v>
      </c>
      <c r="T5">
        <v>2.08</v>
      </c>
      <c r="U5">
        <v>0.64</v>
      </c>
      <c r="V5">
        <v>2.72</v>
      </c>
      <c r="W5">
        <v>5.07</v>
      </c>
      <c r="X5">
        <v>10</v>
      </c>
      <c r="Y5" t="s">
        <v>1000</v>
      </c>
      <c r="Z5">
        <v>84</v>
      </c>
      <c r="AA5">
        <v>3</v>
      </c>
      <c r="AB5">
        <v>57</v>
      </c>
      <c r="AC5">
        <v>19</v>
      </c>
      <c r="AD5">
        <v>6</v>
      </c>
      <c r="AE5">
        <v>4</v>
      </c>
      <c r="AF5">
        <v>12</v>
      </c>
      <c r="AG5">
        <v>5</v>
      </c>
      <c r="AH5">
        <f>fpl_player_statistics_cleaned[[#This Row],[Total Points]] / fpl_player_statistics_cleaned[[#This Row],[Now Cost]]</f>
        <v>10.983606557377049</v>
      </c>
      <c r="AI5">
        <f>fpl_player_statistics_cleaned[[#This Row],[Goals Scored]] + fpl_player_statistics_cleaned[[#This Row],[Assists]]</f>
        <v>4</v>
      </c>
      <c r="AJ5">
        <f>fpl_player_statistics_cleaned[[#This Row],[Total Points]] / fpl_player_statistics_cleaned[[#This Row],[Starts]]</f>
        <v>6.7</v>
      </c>
      <c r="AK5">
        <f>((fpl_player_statistics_cleaned[[#This Row],[Points Per Game]]) * fpl_player_statistics_cleaned[[#This Row],[Form]]) / fpl_player_statistics_cleaned[[#This Row],[Now Cost]]</f>
        <v>4.8</v>
      </c>
      <c r="AL5">
        <f>fpl_player_statistics_cleaned[[#This Row],[Minutes]] / fpl_player_statistics_cleaned[[#This Row],[Total Points]]</f>
        <v>13.149253731343284</v>
      </c>
      <c r="AM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321.59999999999997</v>
      </c>
    </row>
    <row r="6" spans="1:39" x14ac:dyDescent="0.2">
      <c r="A6" t="s">
        <v>42</v>
      </c>
      <c r="B6" t="s">
        <v>37</v>
      </c>
      <c r="C6" t="s">
        <v>41</v>
      </c>
      <c r="D6">
        <v>6.8</v>
      </c>
      <c r="E6">
        <v>65</v>
      </c>
      <c r="F6">
        <v>5.9</v>
      </c>
      <c r="G6">
        <v>20.2</v>
      </c>
      <c r="H6">
        <v>2</v>
      </c>
      <c r="I6">
        <v>4</v>
      </c>
      <c r="J6">
        <v>893</v>
      </c>
      <c r="K6">
        <v>6</v>
      </c>
      <c r="L6">
        <v>5</v>
      </c>
      <c r="M6">
        <v>0</v>
      </c>
      <c r="N6">
        <v>10</v>
      </c>
      <c r="O6">
        <v>69.099999999999994</v>
      </c>
      <c r="P6">
        <v>6.2</v>
      </c>
      <c r="Q6">
        <v>2</v>
      </c>
      <c r="R6">
        <v>0.9</v>
      </c>
      <c r="S6">
        <v>9.6</v>
      </c>
      <c r="T6">
        <v>1.18</v>
      </c>
      <c r="U6">
        <v>2.38</v>
      </c>
      <c r="V6">
        <v>3.56</v>
      </c>
      <c r="W6">
        <v>5.45</v>
      </c>
      <c r="X6">
        <v>10</v>
      </c>
      <c r="Y6" t="s">
        <v>1000</v>
      </c>
      <c r="Z6">
        <v>42</v>
      </c>
      <c r="AA6">
        <v>26</v>
      </c>
      <c r="AB6">
        <v>15</v>
      </c>
      <c r="AC6">
        <v>5</v>
      </c>
      <c r="AD6">
        <v>9</v>
      </c>
      <c r="AE6">
        <v>3</v>
      </c>
      <c r="AF6">
        <v>19</v>
      </c>
      <c r="AG6">
        <v>6</v>
      </c>
      <c r="AH6">
        <f>fpl_player_statistics_cleaned[[#This Row],[Total Points]] / fpl_player_statistics_cleaned[[#This Row],[Now Cost]]</f>
        <v>9.5588235294117645</v>
      </c>
      <c r="AI6">
        <f>fpl_player_statistics_cleaned[[#This Row],[Goals Scored]] + fpl_player_statistics_cleaned[[#This Row],[Assists]]</f>
        <v>6</v>
      </c>
      <c r="AJ6">
        <f>fpl_player_statistics_cleaned[[#This Row],[Total Points]] / fpl_player_statistics_cleaned[[#This Row],[Starts]]</f>
        <v>6.5</v>
      </c>
      <c r="AK6">
        <f>((fpl_player_statistics_cleaned[[#This Row],[Points Per Game]]) * fpl_player_statistics_cleaned[[#This Row],[Form]]) / fpl_player_statistics_cleaned[[#This Row],[Now Cost]]</f>
        <v>5.3794117647058837</v>
      </c>
      <c r="AL6">
        <f>fpl_player_statistics_cleaned[[#This Row],[Minutes]] / fpl_player_statistics_cleaned[[#This Row],[Total Points]]</f>
        <v>13.738461538461538</v>
      </c>
      <c r="AM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349.66176470588238</v>
      </c>
    </row>
    <row r="7" spans="1:39" x14ac:dyDescent="0.2">
      <c r="A7" t="s">
        <v>900</v>
      </c>
      <c r="B7" t="s">
        <v>43</v>
      </c>
      <c r="C7" t="s">
        <v>38</v>
      </c>
      <c r="D7">
        <v>5.0999999999999996</v>
      </c>
      <c r="E7">
        <v>64</v>
      </c>
      <c r="F7">
        <v>6.4</v>
      </c>
      <c r="G7">
        <v>35.200000000000003</v>
      </c>
      <c r="H7">
        <v>1</v>
      </c>
      <c r="I7">
        <v>3</v>
      </c>
      <c r="J7">
        <v>900</v>
      </c>
      <c r="K7">
        <v>4</v>
      </c>
      <c r="L7">
        <v>9</v>
      </c>
      <c r="M7">
        <v>0</v>
      </c>
      <c r="N7">
        <v>5</v>
      </c>
      <c r="O7">
        <v>43.5</v>
      </c>
      <c r="P7">
        <v>4.5</v>
      </c>
      <c r="Q7">
        <v>2</v>
      </c>
      <c r="R7">
        <v>0.9</v>
      </c>
      <c r="S7">
        <v>12.5</v>
      </c>
      <c r="T7">
        <v>0.89</v>
      </c>
      <c r="U7">
        <v>1</v>
      </c>
      <c r="V7">
        <v>1.89</v>
      </c>
      <c r="W7">
        <v>12.5</v>
      </c>
      <c r="X7">
        <v>10</v>
      </c>
      <c r="Y7" t="s">
        <v>1000</v>
      </c>
      <c r="Z7">
        <v>233</v>
      </c>
      <c r="AA7">
        <v>35</v>
      </c>
      <c r="AB7">
        <v>63</v>
      </c>
      <c r="AC7">
        <v>22</v>
      </c>
      <c r="AD7">
        <v>4</v>
      </c>
      <c r="AE7">
        <v>2</v>
      </c>
      <c r="AF7">
        <v>5</v>
      </c>
      <c r="AG7">
        <v>2</v>
      </c>
      <c r="AH7">
        <f>fpl_player_statistics_cleaned[[#This Row],[Total Points]] / fpl_player_statistics_cleaned[[#This Row],[Now Cost]]</f>
        <v>12.549019607843139</v>
      </c>
      <c r="AI7">
        <f>fpl_player_statistics_cleaned[[#This Row],[Goals Scored]] + fpl_player_statistics_cleaned[[#This Row],[Assists]]</f>
        <v>4</v>
      </c>
      <c r="AJ7">
        <f>fpl_player_statistics_cleaned[[#This Row],[Total Points]] / fpl_player_statistics_cleaned[[#This Row],[Starts]]</f>
        <v>6.4</v>
      </c>
      <c r="AK7">
        <f>((fpl_player_statistics_cleaned[[#This Row],[Points Per Game]]) * fpl_player_statistics_cleaned[[#This Row],[Form]]) / fpl_player_statistics_cleaned[[#This Row],[Now Cost]]</f>
        <v>5.6470588235294121</v>
      </c>
      <c r="AL7">
        <f>fpl_player_statistics_cleaned[[#This Row],[Minutes]] / fpl_player_statistics_cleaned[[#This Row],[Total Points]]</f>
        <v>14.0625</v>
      </c>
      <c r="AM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361.41176470588243</v>
      </c>
    </row>
    <row r="8" spans="1:39" x14ac:dyDescent="0.2">
      <c r="A8" t="s">
        <v>44</v>
      </c>
      <c r="B8" t="s">
        <v>37</v>
      </c>
      <c r="C8" t="s">
        <v>38</v>
      </c>
      <c r="D8">
        <v>5.8</v>
      </c>
      <c r="E8">
        <v>61</v>
      </c>
      <c r="F8">
        <v>5.5</v>
      </c>
      <c r="G8">
        <v>16.100000000000001</v>
      </c>
      <c r="H8">
        <v>1</v>
      </c>
      <c r="I8">
        <v>2</v>
      </c>
      <c r="J8">
        <v>856</v>
      </c>
      <c r="K8">
        <v>7</v>
      </c>
      <c r="L8">
        <v>5</v>
      </c>
      <c r="M8">
        <v>0</v>
      </c>
      <c r="N8">
        <v>3</v>
      </c>
      <c r="O8">
        <v>41.9</v>
      </c>
      <c r="P8">
        <v>4.8</v>
      </c>
      <c r="Q8">
        <v>2</v>
      </c>
      <c r="R8">
        <v>0.8</v>
      </c>
      <c r="S8">
        <v>10.5</v>
      </c>
      <c r="T8">
        <v>2.2400000000000002</v>
      </c>
      <c r="U8">
        <v>0.25</v>
      </c>
      <c r="V8">
        <v>2.4900000000000002</v>
      </c>
      <c r="W8">
        <v>4.8</v>
      </c>
      <c r="X8">
        <v>11</v>
      </c>
      <c r="Y8" t="s">
        <v>1000</v>
      </c>
      <c r="Z8">
        <v>114</v>
      </c>
      <c r="AA8">
        <v>9</v>
      </c>
      <c r="AB8">
        <v>53</v>
      </c>
      <c r="AC8">
        <v>18</v>
      </c>
      <c r="AD8">
        <v>16</v>
      </c>
      <c r="AE8">
        <v>11</v>
      </c>
      <c r="AF8">
        <v>25</v>
      </c>
      <c r="AG8">
        <v>9</v>
      </c>
      <c r="AH8">
        <f>fpl_player_statistics_cleaned[[#This Row],[Total Points]] / fpl_player_statistics_cleaned[[#This Row],[Now Cost]]</f>
        <v>10.517241379310345</v>
      </c>
      <c r="AI8">
        <f>fpl_player_statistics_cleaned[[#This Row],[Goals Scored]] + fpl_player_statistics_cleaned[[#This Row],[Assists]]</f>
        <v>3</v>
      </c>
      <c r="AJ8">
        <f>fpl_player_statistics_cleaned[[#This Row],[Total Points]] / fpl_player_statistics_cleaned[[#This Row],[Starts]]</f>
        <v>5.5454545454545459</v>
      </c>
      <c r="AK8">
        <f>((fpl_player_statistics_cleaned[[#This Row],[Points Per Game]]) * fpl_player_statistics_cleaned[[#This Row],[Form]]) / fpl_player_statistics_cleaned[[#This Row],[Now Cost]]</f>
        <v>4.5517241379310347</v>
      </c>
      <c r="AL8">
        <f>fpl_player_statistics_cleaned[[#This Row],[Minutes]] / fpl_player_statistics_cleaned[[#This Row],[Total Points]]</f>
        <v>14.032786885245901</v>
      </c>
      <c r="AM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277.65517241379314</v>
      </c>
    </row>
    <row r="9" spans="1:39" x14ac:dyDescent="0.2">
      <c r="A9" t="s">
        <v>901</v>
      </c>
      <c r="B9" t="s">
        <v>43</v>
      </c>
      <c r="C9" t="s">
        <v>38</v>
      </c>
      <c r="D9">
        <v>5.7</v>
      </c>
      <c r="E9">
        <v>60</v>
      </c>
      <c r="F9">
        <v>5.5</v>
      </c>
      <c r="G9">
        <v>15.7</v>
      </c>
      <c r="H9">
        <v>1</v>
      </c>
      <c r="I9">
        <v>3</v>
      </c>
      <c r="J9">
        <v>990</v>
      </c>
      <c r="K9">
        <v>5</v>
      </c>
      <c r="L9">
        <v>9</v>
      </c>
      <c r="M9">
        <v>0</v>
      </c>
      <c r="N9">
        <v>2</v>
      </c>
      <c r="O9">
        <v>51.2</v>
      </c>
      <c r="P9">
        <v>6</v>
      </c>
      <c r="Q9">
        <v>0</v>
      </c>
      <c r="R9">
        <v>1.1000000000000001</v>
      </c>
      <c r="S9">
        <v>10.5</v>
      </c>
      <c r="T9">
        <v>0.9</v>
      </c>
      <c r="U9">
        <v>1.79</v>
      </c>
      <c r="V9">
        <v>2.69</v>
      </c>
      <c r="W9">
        <v>12.88</v>
      </c>
      <c r="X9">
        <v>11</v>
      </c>
      <c r="Y9" t="s">
        <v>1000</v>
      </c>
      <c r="Z9">
        <v>121</v>
      </c>
      <c r="AA9">
        <v>11</v>
      </c>
      <c r="AB9">
        <v>22</v>
      </c>
      <c r="AC9">
        <v>9</v>
      </c>
      <c r="AD9">
        <v>15</v>
      </c>
      <c r="AE9">
        <v>10</v>
      </c>
      <c r="AF9">
        <v>26</v>
      </c>
      <c r="AG9">
        <v>10</v>
      </c>
      <c r="AH9">
        <f>fpl_player_statistics_cleaned[[#This Row],[Total Points]] / fpl_player_statistics_cleaned[[#This Row],[Now Cost]]</f>
        <v>10.526315789473683</v>
      </c>
      <c r="AI9">
        <f>fpl_player_statistics_cleaned[[#This Row],[Goals Scored]] + fpl_player_statistics_cleaned[[#This Row],[Assists]]</f>
        <v>4</v>
      </c>
      <c r="AJ9">
        <f>fpl_player_statistics_cleaned[[#This Row],[Total Points]] / fpl_player_statistics_cleaned[[#This Row],[Starts]]</f>
        <v>5.4545454545454541</v>
      </c>
      <c r="AK9">
        <f>((fpl_player_statistics_cleaned[[#This Row],[Points Per Game]]) * fpl_player_statistics_cleaned[[#This Row],[Form]]) / fpl_player_statistics_cleaned[[#This Row],[Now Cost]]</f>
        <v>5.7894736842105265</v>
      </c>
      <c r="AL9">
        <f>fpl_player_statistics_cleaned[[#This Row],[Minutes]] / fpl_player_statistics_cleaned[[#This Row],[Total Points]]</f>
        <v>16.5</v>
      </c>
      <c r="AM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347.36842105263156</v>
      </c>
    </row>
    <row r="10" spans="1:39" x14ac:dyDescent="0.2">
      <c r="A10" t="s">
        <v>45</v>
      </c>
      <c r="B10" t="s">
        <v>46</v>
      </c>
      <c r="C10" t="s">
        <v>35</v>
      </c>
      <c r="D10">
        <v>6.3</v>
      </c>
      <c r="E10">
        <v>60</v>
      </c>
      <c r="F10">
        <v>5.5</v>
      </c>
      <c r="G10">
        <v>9.4</v>
      </c>
      <c r="H10">
        <v>8</v>
      </c>
      <c r="I10">
        <v>0</v>
      </c>
      <c r="J10">
        <v>921</v>
      </c>
      <c r="K10">
        <v>2</v>
      </c>
      <c r="L10">
        <v>16</v>
      </c>
      <c r="M10">
        <v>0</v>
      </c>
      <c r="N10">
        <v>9</v>
      </c>
      <c r="O10">
        <v>80</v>
      </c>
      <c r="P10">
        <v>7</v>
      </c>
      <c r="Q10">
        <v>2</v>
      </c>
      <c r="R10">
        <v>1.1000000000000001</v>
      </c>
      <c r="S10">
        <v>9.5</v>
      </c>
      <c r="T10">
        <v>5.85</v>
      </c>
      <c r="U10">
        <v>0.23</v>
      </c>
      <c r="V10">
        <v>6.08</v>
      </c>
      <c r="W10">
        <v>12.91</v>
      </c>
      <c r="X10">
        <v>11</v>
      </c>
      <c r="Y10" t="s">
        <v>1000</v>
      </c>
      <c r="Z10">
        <v>76</v>
      </c>
      <c r="AA10">
        <v>24</v>
      </c>
      <c r="AB10">
        <v>8</v>
      </c>
      <c r="AC10">
        <v>3</v>
      </c>
      <c r="AD10">
        <v>18</v>
      </c>
      <c r="AE10">
        <v>2</v>
      </c>
      <c r="AF10">
        <v>42</v>
      </c>
      <c r="AG10">
        <v>7</v>
      </c>
      <c r="AH10">
        <f>fpl_player_statistics_cleaned[[#This Row],[Total Points]] / fpl_player_statistics_cleaned[[#This Row],[Now Cost]]</f>
        <v>9.5238095238095237</v>
      </c>
      <c r="AI10">
        <f>fpl_player_statistics_cleaned[[#This Row],[Goals Scored]] + fpl_player_statistics_cleaned[[#This Row],[Assists]]</f>
        <v>8</v>
      </c>
      <c r="AJ10">
        <f>fpl_player_statistics_cleaned[[#This Row],[Total Points]] / fpl_player_statistics_cleaned[[#This Row],[Starts]]</f>
        <v>5.4545454545454541</v>
      </c>
      <c r="AK10">
        <f>((fpl_player_statistics_cleaned[[#This Row],[Points Per Game]]) * fpl_player_statistics_cleaned[[#This Row],[Form]]) / fpl_player_statistics_cleaned[[#This Row],[Now Cost]]</f>
        <v>6.1111111111111116</v>
      </c>
      <c r="AL10">
        <f>fpl_player_statistics_cleaned[[#This Row],[Minutes]] / fpl_player_statistics_cleaned[[#This Row],[Total Points]]</f>
        <v>15.35</v>
      </c>
      <c r="AM1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366.66666666666669</v>
      </c>
    </row>
    <row r="11" spans="1:39" x14ac:dyDescent="0.2">
      <c r="A11" t="s">
        <v>902</v>
      </c>
      <c r="B11" t="s">
        <v>47</v>
      </c>
      <c r="C11" t="s">
        <v>41</v>
      </c>
      <c r="D11">
        <v>6</v>
      </c>
      <c r="E11">
        <v>60</v>
      </c>
      <c r="F11">
        <v>5.5</v>
      </c>
      <c r="G11">
        <v>23</v>
      </c>
      <c r="H11">
        <v>3</v>
      </c>
      <c r="I11">
        <v>1</v>
      </c>
      <c r="J11">
        <v>945</v>
      </c>
      <c r="K11">
        <v>4</v>
      </c>
      <c r="L11">
        <v>11</v>
      </c>
      <c r="M11">
        <v>0</v>
      </c>
      <c r="N11">
        <v>9</v>
      </c>
      <c r="O11">
        <v>49.7</v>
      </c>
      <c r="P11">
        <v>3.8</v>
      </c>
      <c r="Q11">
        <v>1</v>
      </c>
      <c r="R11">
        <v>0.6</v>
      </c>
      <c r="S11">
        <v>10</v>
      </c>
      <c r="T11">
        <v>0.56999999999999995</v>
      </c>
      <c r="U11">
        <v>0.73</v>
      </c>
      <c r="V11">
        <v>1.3</v>
      </c>
      <c r="W11">
        <v>13.31</v>
      </c>
      <c r="X11">
        <v>10</v>
      </c>
      <c r="Y11" t="s">
        <v>1000</v>
      </c>
      <c r="Z11">
        <v>89</v>
      </c>
      <c r="AA11">
        <v>58</v>
      </c>
      <c r="AB11">
        <v>96</v>
      </c>
      <c r="AC11">
        <v>45</v>
      </c>
      <c r="AD11">
        <v>17</v>
      </c>
      <c r="AE11">
        <v>5</v>
      </c>
      <c r="AF11">
        <v>15</v>
      </c>
      <c r="AG11">
        <v>4</v>
      </c>
      <c r="AH11">
        <f>fpl_player_statistics_cleaned[[#This Row],[Total Points]] / fpl_player_statistics_cleaned[[#This Row],[Now Cost]]</f>
        <v>10</v>
      </c>
      <c r="AI11">
        <f>fpl_player_statistics_cleaned[[#This Row],[Goals Scored]] + fpl_player_statistics_cleaned[[#This Row],[Assists]]</f>
        <v>4</v>
      </c>
      <c r="AJ11">
        <f>fpl_player_statistics_cleaned[[#This Row],[Total Points]] / fpl_player_statistics_cleaned[[#This Row],[Starts]]</f>
        <v>6</v>
      </c>
      <c r="AK11">
        <f>((fpl_player_statistics_cleaned[[#This Row],[Points Per Game]]) * fpl_player_statistics_cleaned[[#This Row],[Form]]) / fpl_player_statistics_cleaned[[#This Row],[Now Cost]]</f>
        <v>3.4833333333333329</v>
      </c>
      <c r="AL11">
        <f>fpl_player_statistics_cleaned[[#This Row],[Minutes]] / fpl_player_statistics_cleaned[[#This Row],[Total Points]]</f>
        <v>15.75</v>
      </c>
      <c r="AM1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209</v>
      </c>
    </row>
    <row r="12" spans="1:39" x14ac:dyDescent="0.2">
      <c r="A12" t="s">
        <v>48</v>
      </c>
      <c r="B12" t="s">
        <v>49</v>
      </c>
      <c r="C12" t="s">
        <v>41</v>
      </c>
      <c r="D12">
        <v>8.4</v>
      </c>
      <c r="E12">
        <v>60</v>
      </c>
      <c r="F12">
        <v>5.5</v>
      </c>
      <c r="G12">
        <v>31.3</v>
      </c>
      <c r="H12">
        <v>5</v>
      </c>
      <c r="I12">
        <v>1</v>
      </c>
      <c r="J12">
        <v>955</v>
      </c>
      <c r="K12">
        <v>2</v>
      </c>
      <c r="L12">
        <v>17</v>
      </c>
      <c r="M12">
        <v>0</v>
      </c>
      <c r="N12">
        <v>8</v>
      </c>
      <c r="O12">
        <v>95.5</v>
      </c>
      <c r="P12">
        <v>8.1999999999999993</v>
      </c>
      <c r="Q12">
        <v>1</v>
      </c>
      <c r="R12">
        <v>1</v>
      </c>
      <c r="S12">
        <v>7.1</v>
      </c>
      <c r="T12">
        <v>3.2</v>
      </c>
      <c r="U12">
        <v>2.5299999999999998</v>
      </c>
      <c r="V12">
        <v>5.73</v>
      </c>
      <c r="W12">
        <v>16.079999999999998</v>
      </c>
      <c r="X12">
        <v>11</v>
      </c>
      <c r="Y12" t="s">
        <v>1000</v>
      </c>
      <c r="Z12">
        <v>11</v>
      </c>
      <c r="AA12">
        <v>6</v>
      </c>
      <c r="AB12">
        <v>2</v>
      </c>
      <c r="AC12">
        <v>1</v>
      </c>
      <c r="AD12">
        <v>19</v>
      </c>
      <c r="AE12">
        <v>6</v>
      </c>
      <c r="AF12">
        <v>9</v>
      </c>
      <c r="AG12">
        <v>2</v>
      </c>
      <c r="AH12">
        <f>fpl_player_statistics_cleaned[[#This Row],[Total Points]] / fpl_player_statistics_cleaned[[#This Row],[Now Cost]]</f>
        <v>7.1428571428571423</v>
      </c>
      <c r="AI12">
        <f>fpl_player_statistics_cleaned[[#This Row],[Goals Scored]] + fpl_player_statistics_cleaned[[#This Row],[Assists]]</f>
        <v>6</v>
      </c>
      <c r="AJ12">
        <f>fpl_player_statistics_cleaned[[#This Row],[Total Points]] / fpl_player_statistics_cleaned[[#This Row],[Starts]]</f>
        <v>5.4545454545454541</v>
      </c>
      <c r="AK12">
        <f>((fpl_player_statistics_cleaned[[#This Row],[Points Per Game]]) * fpl_player_statistics_cleaned[[#This Row],[Form]]) / fpl_player_statistics_cleaned[[#This Row],[Now Cost]]</f>
        <v>5.3690476190476177</v>
      </c>
      <c r="AL12">
        <f>fpl_player_statistics_cleaned[[#This Row],[Minutes]] / fpl_player_statistics_cleaned[[#This Row],[Total Points]]</f>
        <v>15.916666666666666</v>
      </c>
      <c r="AM1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322.14285714285711</v>
      </c>
    </row>
    <row r="13" spans="1:39" x14ac:dyDescent="0.2">
      <c r="A13" t="s">
        <v>903</v>
      </c>
      <c r="B13" t="s">
        <v>47</v>
      </c>
      <c r="C13" t="s">
        <v>35</v>
      </c>
      <c r="D13">
        <v>7.5</v>
      </c>
      <c r="E13">
        <v>59</v>
      </c>
      <c r="F13">
        <v>5.4</v>
      </c>
      <c r="G13">
        <v>48.3</v>
      </c>
      <c r="H13">
        <v>4</v>
      </c>
      <c r="I13">
        <v>3</v>
      </c>
      <c r="J13">
        <v>929</v>
      </c>
      <c r="K13">
        <v>5</v>
      </c>
      <c r="L13">
        <v>9</v>
      </c>
      <c r="M13">
        <v>0</v>
      </c>
      <c r="N13">
        <v>12</v>
      </c>
      <c r="O13">
        <v>76.400000000000006</v>
      </c>
      <c r="P13">
        <v>5</v>
      </c>
      <c r="Q13">
        <v>3</v>
      </c>
      <c r="R13">
        <v>0.7</v>
      </c>
      <c r="S13">
        <v>7.9</v>
      </c>
      <c r="T13">
        <v>3.84</v>
      </c>
      <c r="U13">
        <v>0.69</v>
      </c>
      <c r="V13">
        <v>4.53</v>
      </c>
      <c r="W13">
        <v>12.39</v>
      </c>
      <c r="X13">
        <v>11</v>
      </c>
      <c r="Y13" t="s">
        <v>1000</v>
      </c>
      <c r="Z13">
        <v>23</v>
      </c>
      <c r="AA13">
        <v>8</v>
      </c>
      <c r="AB13">
        <v>46</v>
      </c>
      <c r="AC13">
        <v>7</v>
      </c>
      <c r="AD13">
        <v>22</v>
      </c>
      <c r="AE13">
        <v>3</v>
      </c>
      <c r="AF13">
        <v>3</v>
      </c>
      <c r="AG13">
        <v>2</v>
      </c>
      <c r="AH13">
        <f>fpl_player_statistics_cleaned[[#This Row],[Total Points]] / fpl_player_statistics_cleaned[[#This Row],[Now Cost]]</f>
        <v>7.8666666666666663</v>
      </c>
      <c r="AI13">
        <f>fpl_player_statistics_cleaned[[#This Row],[Goals Scored]] + fpl_player_statistics_cleaned[[#This Row],[Assists]]</f>
        <v>7</v>
      </c>
      <c r="AJ13">
        <f>fpl_player_statistics_cleaned[[#This Row],[Total Points]] / fpl_player_statistics_cleaned[[#This Row],[Starts]]</f>
        <v>5.3636363636363633</v>
      </c>
      <c r="AK13">
        <f>((fpl_player_statistics_cleaned[[#This Row],[Points Per Game]]) * fpl_player_statistics_cleaned[[#This Row],[Form]]) / fpl_player_statistics_cleaned[[#This Row],[Now Cost]]</f>
        <v>3.6</v>
      </c>
      <c r="AL13">
        <f>fpl_player_statistics_cleaned[[#This Row],[Minutes]] / fpl_player_statistics_cleaned[[#This Row],[Total Points]]</f>
        <v>15.745762711864407</v>
      </c>
      <c r="AM1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212.40000000000003</v>
      </c>
    </row>
    <row r="14" spans="1:39" x14ac:dyDescent="0.2">
      <c r="A14" t="s">
        <v>50</v>
      </c>
      <c r="B14" t="s">
        <v>51</v>
      </c>
      <c r="C14" t="s">
        <v>38</v>
      </c>
      <c r="D14">
        <v>4.8</v>
      </c>
      <c r="E14">
        <v>58</v>
      </c>
      <c r="F14">
        <v>5.3</v>
      </c>
      <c r="G14">
        <v>33.4</v>
      </c>
      <c r="H14">
        <v>3</v>
      </c>
      <c r="I14">
        <v>0</v>
      </c>
      <c r="J14">
        <v>979</v>
      </c>
      <c r="K14">
        <v>4</v>
      </c>
      <c r="L14">
        <v>10</v>
      </c>
      <c r="M14">
        <v>0</v>
      </c>
      <c r="N14">
        <v>5</v>
      </c>
      <c r="O14">
        <v>40.799999999999997</v>
      </c>
      <c r="P14">
        <v>6.5</v>
      </c>
      <c r="Q14">
        <v>2</v>
      </c>
      <c r="R14">
        <v>1.4</v>
      </c>
      <c r="S14">
        <v>12.1</v>
      </c>
      <c r="T14">
        <v>1.86</v>
      </c>
      <c r="U14">
        <v>0.26</v>
      </c>
      <c r="V14">
        <v>2.12</v>
      </c>
      <c r="W14">
        <v>14.99</v>
      </c>
      <c r="X14">
        <v>11</v>
      </c>
      <c r="Y14" t="s">
        <v>1000</v>
      </c>
      <c r="Z14">
        <v>371</v>
      </c>
      <c r="AA14">
        <v>64</v>
      </c>
      <c r="AB14">
        <v>13</v>
      </c>
      <c r="AC14">
        <v>5</v>
      </c>
      <c r="AD14">
        <v>23</v>
      </c>
      <c r="AE14">
        <v>14</v>
      </c>
      <c r="AF14">
        <v>7</v>
      </c>
      <c r="AG14">
        <v>3</v>
      </c>
      <c r="AH14">
        <f>fpl_player_statistics_cleaned[[#This Row],[Total Points]] / fpl_player_statistics_cleaned[[#This Row],[Now Cost]]</f>
        <v>12.083333333333334</v>
      </c>
      <c r="AI14">
        <f>fpl_player_statistics_cleaned[[#This Row],[Goals Scored]] + fpl_player_statistics_cleaned[[#This Row],[Assists]]</f>
        <v>3</v>
      </c>
      <c r="AJ14">
        <f>fpl_player_statistics_cleaned[[#This Row],[Total Points]] / fpl_player_statistics_cleaned[[#This Row],[Starts]]</f>
        <v>5.2727272727272725</v>
      </c>
      <c r="AK14">
        <f>((fpl_player_statistics_cleaned[[#This Row],[Points Per Game]]) * fpl_player_statistics_cleaned[[#This Row],[Form]]) / fpl_player_statistics_cleaned[[#This Row],[Now Cost]]</f>
        <v>7.177083333333333</v>
      </c>
      <c r="AL14">
        <f>fpl_player_statistics_cleaned[[#This Row],[Minutes]] / fpl_player_statistics_cleaned[[#This Row],[Total Points]]</f>
        <v>16.879310344827587</v>
      </c>
      <c r="AM1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416.27083333333337</v>
      </c>
    </row>
    <row r="15" spans="1:39" x14ac:dyDescent="0.2">
      <c r="A15" t="s">
        <v>52</v>
      </c>
      <c r="B15" t="s">
        <v>40</v>
      </c>
      <c r="C15" t="s">
        <v>38</v>
      </c>
      <c r="D15">
        <v>5</v>
      </c>
      <c r="E15">
        <v>58</v>
      </c>
      <c r="F15">
        <v>5.3</v>
      </c>
      <c r="G15">
        <v>25.9</v>
      </c>
      <c r="H15">
        <v>0</v>
      </c>
      <c r="I15">
        <v>2</v>
      </c>
      <c r="J15">
        <v>977</v>
      </c>
      <c r="K15">
        <v>4</v>
      </c>
      <c r="L15">
        <v>18</v>
      </c>
      <c r="M15">
        <v>0</v>
      </c>
      <c r="N15">
        <v>6</v>
      </c>
      <c r="O15">
        <v>47.3</v>
      </c>
      <c r="P15">
        <v>3</v>
      </c>
      <c r="Q15">
        <v>1</v>
      </c>
      <c r="R15">
        <v>0.6</v>
      </c>
      <c r="S15">
        <v>11.6</v>
      </c>
      <c r="T15">
        <v>0.16</v>
      </c>
      <c r="U15">
        <v>1.51</v>
      </c>
      <c r="V15">
        <v>1.67</v>
      </c>
      <c r="W15">
        <v>14.77</v>
      </c>
      <c r="X15">
        <v>11</v>
      </c>
      <c r="Y15" t="s">
        <v>1000</v>
      </c>
      <c r="Z15">
        <v>257</v>
      </c>
      <c r="AA15">
        <v>38</v>
      </c>
      <c r="AB15">
        <v>125</v>
      </c>
      <c r="AC15">
        <v>46</v>
      </c>
      <c r="AD15">
        <v>24</v>
      </c>
      <c r="AE15">
        <v>15</v>
      </c>
      <c r="AF15">
        <v>11</v>
      </c>
      <c r="AG15">
        <v>4</v>
      </c>
      <c r="AH15">
        <f>fpl_player_statistics_cleaned[[#This Row],[Total Points]] / fpl_player_statistics_cleaned[[#This Row],[Now Cost]]</f>
        <v>11.6</v>
      </c>
      <c r="AI15">
        <f>fpl_player_statistics_cleaned[[#This Row],[Goals Scored]] + fpl_player_statistics_cleaned[[#This Row],[Assists]]</f>
        <v>2</v>
      </c>
      <c r="AJ15">
        <f>fpl_player_statistics_cleaned[[#This Row],[Total Points]] / fpl_player_statistics_cleaned[[#This Row],[Starts]]</f>
        <v>5.2727272727272725</v>
      </c>
      <c r="AK15">
        <f>((fpl_player_statistics_cleaned[[#This Row],[Points Per Game]]) * fpl_player_statistics_cleaned[[#This Row],[Form]]) / fpl_player_statistics_cleaned[[#This Row],[Now Cost]]</f>
        <v>3.1799999999999997</v>
      </c>
      <c r="AL15">
        <f>fpl_player_statistics_cleaned[[#This Row],[Minutes]] / fpl_player_statistics_cleaned[[#This Row],[Total Points]]</f>
        <v>16.844827586206897</v>
      </c>
      <c r="AM1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184.43999999999997</v>
      </c>
    </row>
    <row r="16" spans="1:39" x14ac:dyDescent="0.2">
      <c r="A16" t="s">
        <v>53</v>
      </c>
      <c r="B16" t="s">
        <v>54</v>
      </c>
      <c r="C16" t="s">
        <v>55</v>
      </c>
      <c r="D16">
        <v>4.7</v>
      </c>
      <c r="E16">
        <v>56</v>
      </c>
      <c r="F16">
        <v>5.0999999999999996</v>
      </c>
      <c r="G16">
        <v>7.2</v>
      </c>
      <c r="H16">
        <v>0</v>
      </c>
      <c r="I16">
        <v>0</v>
      </c>
      <c r="J16">
        <v>990</v>
      </c>
      <c r="K16">
        <v>4</v>
      </c>
      <c r="L16">
        <v>10</v>
      </c>
      <c r="M16">
        <v>39</v>
      </c>
      <c r="N16">
        <v>6</v>
      </c>
      <c r="O16">
        <v>34.299999999999997</v>
      </c>
      <c r="P16">
        <v>3.8</v>
      </c>
      <c r="Q16">
        <v>2</v>
      </c>
      <c r="R16">
        <v>0.8</v>
      </c>
      <c r="S16">
        <v>11.9</v>
      </c>
      <c r="T16">
        <v>0</v>
      </c>
      <c r="U16">
        <v>0.01</v>
      </c>
      <c r="V16">
        <v>0.01</v>
      </c>
      <c r="W16">
        <v>13.26</v>
      </c>
      <c r="X16">
        <v>11</v>
      </c>
      <c r="Y16" t="s">
        <v>1000</v>
      </c>
      <c r="Z16">
        <v>382</v>
      </c>
      <c r="AA16">
        <v>19</v>
      </c>
      <c r="AB16">
        <v>91</v>
      </c>
      <c r="AC16">
        <v>9</v>
      </c>
      <c r="AD16">
        <v>26</v>
      </c>
      <c r="AE16">
        <v>1</v>
      </c>
      <c r="AF16">
        <v>53</v>
      </c>
      <c r="AG16">
        <v>11</v>
      </c>
      <c r="AH16">
        <f>fpl_player_statistics_cleaned[[#This Row],[Total Points]] / fpl_player_statistics_cleaned[[#This Row],[Now Cost]]</f>
        <v>11.914893617021276</v>
      </c>
      <c r="AI16">
        <f>fpl_player_statistics_cleaned[[#This Row],[Goals Scored]] + fpl_player_statistics_cleaned[[#This Row],[Assists]]</f>
        <v>0</v>
      </c>
      <c r="AJ16">
        <f>fpl_player_statistics_cleaned[[#This Row],[Total Points]] / fpl_player_statistics_cleaned[[#This Row],[Starts]]</f>
        <v>5.0909090909090908</v>
      </c>
      <c r="AK16">
        <f>((fpl_player_statistics_cleaned[[#This Row],[Points Per Game]]) * fpl_player_statistics_cleaned[[#This Row],[Form]]) / fpl_player_statistics_cleaned[[#This Row],[Now Cost]]</f>
        <v>4.1234042553191488</v>
      </c>
      <c r="AL16">
        <f>fpl_player_statistics_cleaned[[#This Row],[Minutes]] / fpl_player_statistics_cleaned[[#This Row],[Total Points]]</f>
        <v>17.678571428571427</v>
      </c>
      <c r="AM1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230.91063829787231</v>
      </c>
    </row>
    <row r="17" spans="1:39" x14ac:dyDescent="0.2">
      <c r="A17" t="s">
        <v>56</v>
      </c>
      <c r="B17" t="s">
        <v>57</v>
      </c>
      <c r="C17" t="s">
        <v>38</v>
      </c>
      <c r="D17">
        <v>4.5</v>
      </c>
      <c r="E17">
        <v>56</v>
      </c>
      <c r="F17">
        <v>5.0999999999999996</v>
      </c>
      <c r="G17">
        <v>1.2</v>
      </c>
      <c r="H17">
        <v>2</v>
      </c>
      <c r="I17">
        <v>0</v>
      </c>
      <c r="J17">
        <v>964</v>
      </c>
      <c r="K17">
        <v>3</v>
      </c>
      <c r="L17">
        <v>13</v>
      </c>
      <c r="M17">
        <v>0</v>
      </c>
      <c r="N17">
        <v>4</v>
      </c>
      <c r="O17">
        <v>41.8</v>
      </c>
      <c r="P17">
        <v>5.2</v>
      </c>
      <c r="Q17">
        <v>1</v>
      </c>
      <c r="R17">
        <v>1.2</v>
      </c>
      <c r="S17">
        <v>12.4</v>
      </c>
      <c r="T17">
        <v>0.99</v>
      </c>
      <c r="U17">
        <v>0.12</v>
      </c>
      <c r="V17">
        <v>1.1100000000000001</v>
      </c>
      <c r="W17">
        <v>15.5</v>
      </c>
      <c r="X17">
        <v>11</v>
      </c>
      <c r="Y17" t="s">
        <v>1000</v>
      </c>
      <c r="Z17">
        <v>396</v>
      </c>
      <c r="AA17">
        <v>72</v>
      </c>
      <c r="AB17">
        <v>33</v>
      </c>
      <c r="AC17">
        <v>13</v>
      </c>
      <c r="AD17">
        <v>25</v>
      </c>
      <c r="AE17">
        <v>16</v>
      </c>
      <c r="AF17">
        <v>162</v>
      </c>
      <c r="AG17">
        <v>61</v>
      </c>
      <c r="AH17">
        <f>fpl_player_statistics_cleaned[[#This Row],[Total Points]] / fpl_player_statistics_cleaned[[#This Row],[Now Cost]]</f>
        <v>12.444444444444445</v>
      </c>
      <c r="AI17">
        <f>fpl_player_statistics_cleaned[[#This Row],[Goals Scored]] + fpl_player_statistics_cleaned[[#This Row],[Assists]]</f>
        <v>2</v>
      </c>
      <c r="AJ17">
        <f>fpl_player_statistics_cleaned[[#This Row],[Total Points]] / fpl_player_statistics_cleaned[[#This Row],[Starts]]</f>
        <v>5.0909090909090908</v>
      </c>
      <c r="AK17">
        <f>((fpl_player_statistics_cleaned[[#This Row],[Points Per Game]]) * fpl_player_statistics_cleaned[[#This Row],[Form]]) / fpl_player_statistics_cleaned[[#This Row],[Now Cost]]</f>
        <v>5.8933333333333335</v>
      </c>
      <c r="AL17">
        <f>fpl_player_statistics_cleaned[[#This Row],[Minutes]] / fpl_player_statistics_cleaned[[#This Row],[Total Points]]</f>
        <v>17.214285714285715</v>
      </c>
      <c r="AM1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330.02666666666664</v>
      </c>
    </row>
    <row r="18" spans="1:39" x14ac:dyDescent="0.2">
      <c r="A18" t="s">
        <v>58</v>
      </c>
      <c r="B18" t="s">
        <v>43</v>
      </c>
      <c r="C18" t="s">
        <v>38</v>
      </c>
      <c r="D18">
        <v>5</v>
      </c>
      <c r="E18">
        <v>56</v>
      </c>
      <c r="F18">
        <v>5.0999999999999996</v>
      </c>
      <c r="G18">
        <v>3.8</v>
      </c>
      <c r="H18">
        <v>0</v>
      </c>
      <c r="I18">
        <v>1</v>
      </c>
      <c r="J18">
        <v>990</v>
      </c>
      <c r="K18">
        <v>5</v>
      </c>
      <c r="L18">
        <v>9</v>
      </c>
      <c r="M18">
        <v>0</v>
      </c>
      <c r="N18">
        <v>2</v>
      </c>
      <c r="O18">
        <v>32.299999999999997</v>
      </c>
      <c r="P18">
        <v>4.8</v>
      </c>
      <c r="Q18">
        <v>1</v>
      </c>
      <c r="R18">
        <v>1</v>
      </c>
      <c r="S18">
        <v>11.2</v>
      </c>
      <c r="T18">
        <v>0.49</v>
      </c>
      <c r="U18">
        <v>0.18</v>
      </c>
      <c r="V18">
        <v>0.67</v>
      </c>
      <c r="W18">
        <v>12.88</v>
      </c>
      <c r="X18">
        <v>11</v>
      </c>
      <c r="Y18" t="s">
        <v>1000</v>
      </c>
      <c r="Z18">
        <v>267</v>
      </c>
      <c r="AA18">
        <v>41</v>
      </c>
      <c r="AB18">
        <v>50</v>
      </c>
      <c r="AC18">
        <v>17</v>
      </c>
      <c r="AD18">
        <v>28</v>
      </c>
      <c r="AE18">
        <v>18</v>
      </c>
      <c r="AF18">
        <v>89</v>
      </c>
      <c r="AG18">
        <v>31</v>
      </c>
      <c r="AH18">
        <f>fpl_player_statistics_cleaned[[#This Row],[Total Points]] / fpl_player_statistics_cleaned[[#This Row],[Now Cost]]</f>
        <v>11.2</v>
      </c>
      <c r="AI18">
        <f>fpl_player_statistics_cleaned[[#This Row],[Goals Scored]] + fpl_player_statistics_cleaned[[#This Row],[Assists]]</f>
        <v>1</v>
      </c>
      <c r="AJ18">
        <f>fpl_player_statistics_cleaned[[#This Row],[Total Points]] / fpl_player_statistics_cleaned[[#This Row],[Starts]]</f>
        <v>5.0909090909090908</v>
      </c>
      <c r="AK18">
        <f>((fpl_player_statistics_cleaned[[#This Row],[Points Per Game]]) * fpl_player_statistics_cleaned[[#This Row],[Form]]) / fpl_player_statistics_cleaned[[#This Row],[Now Cost]]</f>
        <v>4.895999999999999</v>
      </c>
      <c r="AL18">
        <f>fpl_player_statistics_cleaned[[#This Row],[Minutes]] / fpl_player_statistics_cleaned[[#This Row],[Total Points]]</f>
        <v>17.678571428571427</v>
      </c>
      <c r="AM1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274.17599999999999</v>
      </c>
    </row>
    <row r="19" spans="1:39" x14ac:dyDescent="0.2">
      <c r="A19" t="s">
        <v>59</v>
      </c>
      <c r="B19" t="s">
        <v>43</v>
      </c>
      <c r="C19" t="s">
        <v>38</v>
      </c>
      <c r="D19">
        <v>5</v>
      </c>
      <c r="E19">
        <v>55</v>
      </c>
      <c r="F19">
        <v>5</v>
      </c>
      <c r="G19">
        <v>2.2000000000000002</v>
      </c>
      <c r="H19">
        <v>1</v>
      </c>
      <c r="I19">
        <v>0</v>
      </c>
      <c r="J19">
        <v>990</v>
      </c>
      <c r="K19">
        <v>5</v>
      </c>
      <c r="L19">
        <v>9</v>
      </c>
      <c r="M19">
        <v>0</v>
      </c>
      <c r="N19">
        <v>5</v>
      </c>
      <c r="O19">
        <v>48</v>
      </c>
      <c r="P19">
        <v>5</v>
      </c>
      <c r="Q19">
        <v>1</v>
      </c>
      <c r="R19">
        <v>1</v>
      </c>
      <c r="S19">
        <v>11</v>
      </c>
      <c r="T19">
        <v>0.39</v>
      </c>
      <c r="U19">
        <v>0.78</v>
      </c>
      <c r="V19">
        <v>1.17</v>
      </c>
      <c r="W19">
        <v>12.88</v>
      </c>
      <c r="X19">
        <v>11</v>
      </c>
      <c r="Y19" t="s">
        <v>1000</v>
      </c>
      <c r="Z19">
        <v>264</v>
      </c>
      <c r="AA19">
        <v>40</v>
      </c>
      <c r="AB19">
        <v>40</v>
      </c>
      <c r="AC19">
        <v>14</v>
      </c>
      <c r="AD19">
        <v>30</v>
      </c>
      <c r="AE19">
        <v>19</v>
      </c>
      <c r="AF19">
        <v>119</v>
      </c>
      <c r="AG19">
        <v>46</v>
      </c>
      <c r="AH19">
        <f>fpl_player_statistics_cleaned[[#This Row],[Total Points]] / fpl_player_statistics_cleaned[[#This Row],[Now Cost]]</f>
        <v>11</v>
      </c>
      <c r="AI19">
        <f>fpl_player_statistics_cleaned[[#This Row],[Goals Scored]] + fpl_player_statistics_cleaned[[#This Row],[Assists]]</f>
        <v>1</v>
      </c>
      <c r="AJ19">
        <f>fpl_player_statistics_cleaned[[#This Row],[Total Points]] / fpl_player_statistics_cleaned[[#This Row],[Starts]]</f>
        <v>5</v>
      </c>
      <c r="AK19">
        <f>((fpl_player_statistics_cleaned[[#This Row],[Points Per Game]]) * fpl_player_statistics_cleaned[[#This Row],[Form]]) / fpl_player_statistics_cleaned[[#This Row],[Now Cost]]</f>
        <v>5</v>
      </c>
      <c r="AL19">
        <f>fpl_player_statistics_cleaned[[#This Row],[Minutes]] / fpl_player_statistics_cleaned[[#This Row],[Total Points]]</f>
        <v>18</v>
      </c>
      <c r="AM1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275</v>
      </c>
    </row>
    <row r="20" spans="1:39" x14ac:dyDescent="0.2">
      <c r="A20" t="s">
        <v>60</v>
      </c>
      <c r="B20" t="s">
        <v>57</v>
      </c>
      <c r="C20" t="s">
        <v>41</v>
      </c>
      <c r="D20">
        <v>6.6</v>
      </c>
      <c r="E20">
        <v>55</v>
      </c>
      <c r="F20">
        <v>5</v>
      </c>
      <c r="G20">
        <v>11.9</v>
      </c>
      <c r="H20">
        <v>4</v>
      </c>
      <c r="I20">
        <v>1</v>
      </c>
      <c r="J20">
        <v>914</v>
      </c>
      <c r="K20">
        <v>3</v>
      </c>
      <c r="L20">
        <v>13</v>
      </c>
      <c r="M20">
        <v>0</v>
      </c>
      <c r="N20">
        <v>3</v>
      </c>
      <c r="O20">
        <v>67.5</v>
      </c>
      <c r="P20">
        <v>4.5</v>
      </c>
      <c r="Q20">
        <v>0</v>
      </c>
      <c r="R20">
        <v>0.7</v>
      </c>
      <c r="S20">
        <v>8.3000000000000007</v>
      </c>
      <c r="T20">
        <v>2.62</v>
      </c>
      <c r="U20">
        <v>2.4</v>
      </c>
      <c r="V20">
        <v>5.0199999999999996</v>
      </c>
      <c r="W20">
        <v>12.95</v>
      </c>
      <c r="X20">
        <v>11</v>
      </c>
      <c r="Y20" t="s">
        <v>1000</v>
      </c>
      <c r="Z20">
        <v>54</v>
      </c>
      <c r="AA20">
        <v>37</v>
      </c>
      <c r="AB20">
        <v>66</v>
      </c>
      <c r="AC20">
        <v>32</v>
      </c>
      <c r="AD20">
        <v>33</v>
      </c>
      <c r="AE20">
        <v>9</v>
      </c>
      <c r="AF20">
        <v>35</v>
      </c>
      <c r="AG20">
        <v>15</v>
      </c>
      <c r="AH20">
        <f>fpl_player_statistics_cleaned[[#This Row],[Total Points]] / fpl_player_statistics_cleaned[[#This Row],[Now Cost]]</f>
        <v>8.3333333333333339</v>
      </c>
      <c r="AI20">
        <f>fpl_player_statistics_cleaned[[#This Row],[Goals Scored]] + fpl_player_statistics_cleaned[[#This Row],[Assists]]</f>
        <v>5</v>
      </c>
      <c r="AJ20">
        <f>fpl_player_statistics_cleaned[[#This Row],[Total Points]] / fpl_player_statistics_cleaned[[#This Row],[Starts]]</f>
        <v>5</v>
      </c>
      <c r="AK20">
        <f>((fpl_player_statistics_cleaned[[#This Row],[Points Per Game]]) * fpl_player_statistics_cleaned[[#This Row],[Form]]) / fpl_player_statistics_cleaned[[#This Row],[Now Cost]]</f>
        <v>3.4090909090909092</v>
      </c>
      <c r="AL20">
        <f>fpl_player_statistics_cleaned[[#This Row],[Minutes]] / fpl_player_statistics_cleaned[[#This Row],[Total Points]]</f>
        <v>16.618181818181817</v>
      </c>
      <c r="AM2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187.5</v>
      </c>
    </row>
    <row r="21" spans="1:39" x14ac:dyDescent="0.2">
      <c r="A21" t="s">
        <v>61</v>
      </c>
      <c r="B21" t="s">
        <v>47</v>
      </c>
      <c r="C21" t="s">
        <v>38</v>
      </c>
      <c r="D21">
        <v>5.0999999999999996</v>
      </c>
      <c r="E21">
        <v>55</v>
      </c>
      <c r="F21">
        <v>5.5</v>
      </c>
      <c r="G21">
        <v>8</v>
      </c>
      <c r="H21">
        <v>2</v>
      </c>
      <c r="I21">
        <v>1</v>
      </c>
      <c r="J21">
        <v>840</v>
      </c>
      <c r="K21">
        <v>5</v>
      </c>
      <c r="L21">
        <v>10</v>
      </c>
      <c r="M21">
        <v>0</v>
      </c>
      <c r="N21">
        <v>2</v>
      </c>
      <c r="O21">
        <v>39.1</v>
      </c>
      <c r="P21">
        <v>5</v>
      </c>
      <c r="Q21">
        <v>1</v>
      </c>
      <c r="R21">
        <v>1</v>
      </c>
      <c r="S21">
        <v>10.8</v>
      </c>
      <c r="T21">
        <v>0.77</v>
      </c>
      <c r="U21">
        <v>0.57999999999999996</v>
      </c>
      <c r="V21">
        <v>1.35</v>
      </c>
      <c r="W21">
        <v>9.3000000000000007</v>
      </c>
      <c r="X21">
        <v>10</v>
      </c>
      <c r="Y21" t="s">
        <v>1000</v>
      </c>
      <c r="Z21">
        <v>231</v>
      </c>
      <c r="AA21">
        <v>34</v>
      </c>
      <c r="AB21">
        <v>42</v>
      </c>
      <c r="AC21">
        <v>15</v>
      </c>
      <c r="AD21">
        <v>14</v>
      </c>
      <c r="AE21">
        <v>9</v>
      </c>
      <c r="AF21">
        <v>48</v>
      </c>
      <c r="AG21">
        <v>16</v>
      </c>
      <c r="AH21">
        <f>fpl_player_statistics_cleaned[[#This Row],[Total Points]] / fpl_player_statistics_cleaned[[#This Row],[Now Cost]]</f>
        <v>10.784313725490197</v>
      </c>
      <c r="AI21">
        <f>fpl_player_statistics_cleaned[[#This Row],[Goals Scored]] + fpl_player_statistics_cleaned[[#This Row],[Assists]]</f>
        <v>3</v>
      </c>
      <c r="AJ21">
        <f>fpl_player_statistics_cleaned[[#This Row],[Total Points]] / fpl_player_statistics_cleaned[[#This Row],[Starts]]</f>
        <v>5.5</v>
      </c>
      <c r="AK21">
        <f>((fpl_player_statistics_cleaned[[#This Row],[Points Per Game]]) * fpl_player_statistics_cleaned[[#This Row],[Form]]) / fpl_player_statistics_cleaned[[#This Row],[Now Cost]]</f>
        <v>5.3921568627450984</v>
      </c>
      <c r="AL21">
        <f>fpl_player_statistics_cleaned[[#This Row],[Minutes]] / fpl_player_statistics_cleaned[[#This Row],[Total Points]]</f>
        <v>15.272727272727273</v>
      </c>
      <c r="AM2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296.56862745098039</v>
      </c>
    </row>
    <row r="22" spans="1:39" x14ac:dyDescent="0.2">
      <c r="A22" t="s">
        <v>62</v>
      </c>
      <c r="B22" t="s">
        <v>63</v>
      </c>
      <c r="C22" t="s">
        <v>41</v>
      </c>
      <c r="D22">
        <v>14.2</v>
      </c>
      <c r="E22">
        <v>54</v>
      </c>
      <c r="F22">
        <v>4.9000000000000004</v>
      </c>
      <c r="G22">
        <v>24.2</v>
      </c>
      <c r="H22">
        <v>4</v>
      </c>
      <c r="I22">
        <v>2</v>
      </c>
      <c r="J22">
        <v>984</v>
      </c>
      <c r="K22">
        <v>3</v>
      </c>
      <c r="L22">
        <v>17</v>
      </c>
      <c r="M22">
        <v>0</v>
      </c>
      <c r="N22">
        <v>4</v>
      </c>
      <c r="O22">
        <v>83.8</v>
      </c>
      <c r="P22">
        <v>5</v>
      </c>
      <c r="Q22">
        <v>0</v>
      </c>
      <c r="R22">
        <v>0.4</v>
      </c>
      <c r="S22">
        <v>3.8</v>
      </c>
      <c r="T22">
        <v>3.72</v>
      </c>
      <c r="U22">
        <v>1.49</v>
      </c>
      <c r="V22">
        <v>5.21</v>
      </c>
      <c r="W22">
        <v>13.54</v>
      </c>
      <c r="X22">
        <v>11</v>
      </c>
      <c r="Y22" t="s">
        <v>1000</v>
      </c>
      <c r="Z22">
        <v>2</v>
      </c>
      <c r="AA22">
        <v>1</v>
      </c>
      <c r="AB22">
        <v>47</v>
      </c>
      <c r="AC22">
        <v>24</v>
      </c>
      <c r="AD22">
        <v>37</v>
      </c>
      <c r="AE22">
        <v>11</v>
      </c>
      <c r="AF22">
        <v>13</v>
      </c>
      <c r="AG22">
        <v>3</v>
      </c>
      <c r="AH22">
        <f>fpl_player_statistics_cleaned[[#This Row],[Total Points]] / fpl_player_statistics_cleaned[[#This Row],[Now Cost]]</f>
        <v>3.802816901408451</v>
      </c>
      <c r="AI22">
        <f>fpl_player_statistics_cleaned[[#This Row],[Goals Scored]] + fpl_player_statistics_cleaned[[#This Row],[Assists]]</f>
        <v>6</v>
      </c>
      <c r="AJ22">
        <f>fpl_player_statistics_cleaned[[#This Row],[Total Points]] / fpl_player_statistics_cleaned[[#This Row],[Starts]]</f>
        <v>4.9090909090909092</v>
      </c>
      <c r="AK22">
        <f>((fpl_player_statistics_cleaned[[#This Row],[Points Per Game]]) * fpl_player_statistics_cleaned[[#This Row],[Form]]) / fpl_player_statistics_cleaned[[#This Row],[Now Cost]]</f>
        <v>1.7253521126760565</v>
      </c>
      <c r="AL22">
        <f>fpl_player_statistics_cleaned[[#This Row],[Minutes]] / fpl_player_statistics_cleaned[[#This Row],[Total Points]]</f>
        <v>18.222222222222221</v>
      </c>
      <c r="AM2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93.169014084507054</v>
      </c>
    </row>
    <row r="23" spans="1:39" x14ac:dyDescent="0.2">
      <c r="A23" t="s">
        <v>64</v>
      </c>
      <c r="B23" t="s">
        <v>65</v>
      </c>
      <c r="C23" t="s">
        <v>41</v>
      </c>
      <c r="D23">
        <v>5</v>
      </c>
      <c r="E23">
        <v>53</v>
      </c>
      <c r="F23">
        <v>4.8</v>
      </c>
      <c r="G23">
        <v>2.2999999999999998</v>
      </c>
      <c r="H23">
        <v>2</v>
      </c>
      <c r="I23">
        <v>1</v>
      </c>
      <c r="J23">
        <v>941</v>
      </c>
      <c r="K23">
        <v>3</v>
      </c>
      <c r="L23">
        <v>19</v>
      </c>
      <c r="M23">
        <v>0</v>
      </c>
      <c r="N23">
        <v>8</v>
      </c>
      <c r="O23">
        <v>50.3</v>
      </c>
      <c r="P23">
        <v>4</v>
      </c>
      <c r="Q23">
        <v>1</v>
      </c>
      <c r="R23">
        <v>0.8</v>
      </c>
      <c r="S23">
        <v>10.6</v>
      </c>
      <c r="T23">
        <v>0.65</v>
      </c>
      <c r="U23">
        <v>0.73</v>
      </c>
      <c r="V23">
        <v>1.38</v>
      </c>
      <c r="W23">
        <v>22.19</v>
      </c>
      <c r="X23">
        <v>11</v>
      </c>
      <c r="Y23" t="s">
        <v>1000</v>
      </c>
      <c r="Z23">
        <v>245</v>
      </c>
      <c r="AA23">
        <v>153</v>
      </c>
      <c r="AB23">
        <v>77</v>
      </c>
      <c r="AC23">
        <v>37</v>
      </c>
      <c r="AD23">
        <v>38</v>
      </c>
      <c r="AE23">
        <v>12</v>
      </c>
      <c r="AF23">
        <v>117</v>
      </c>
      <c r="AG23">
        <v>40</v>
      </c>
      <c r="AH23">
        <f>fpl_player_statistics_cleaned[[#This Row],[Total Points]] / fpl_player_statistics_cleaned[[#This Row],[Now Cost]]</f>
        <v>10.6</v>
      </c>
      <c r="AI23">
        <f>fpl_player_statistics_cleaned[[#This Row],[Goals Scored]] + fpl_player_statistics_cleaned[[#This Row],[Assists]]</f>
        <v>3</v>
      </c>
      <c r="AJ23">
        <f>fpl_player_statistics_cleaned[[#This Row],[Total Points]] / fpl_player_statistics_cleaned[[#This Row],[Starts]]</f>
        <v>4.8181818181818183</v>
      </c>
      <c r="AK23">
        <f>((fpl_player_statistics_cleaned[[#This Row],[Points Per Game]]) * fpl_player_statistics_cleaned[[#This Row],[Form]]) / fpl_player_statistics_cleaned[[#This Row],[Now Cost]]</f>
        <v>3.84</v>
      </c>
      <c r="AL23">
        <f>fpl_player_statistics_cleaned[[#This Row],[Minutes]] / fpl_player_statistics_cleaned[[#This Row],[Total Points]]</f>
        <v>17.754716981132077</v>
      </c>
      <c r="AM2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203.51999999999998</v>
      </c>
    </row>
    <row r="24" spans="1:39" x14ac:dyDescent="0.2">
      <c r="A24" t="s">
        <v>66</v>
      </c>
      <c r="B24" t="s">
        <v>37</v>
      </c>
      <c r="C24" t="s">
        <v>55</v>
      </c>
      <c r="D24">
        <v>5.9</v>
      </c>
      <c r="E24">
        <v>53</v>
      </c>
      <c r="F24">
        <v>4.8</v>
      </c>
      <c r="G24">
        <v>32.299999999999997</v>
      </c>
      <c r="H24">
        <v>0</v>
      </c>
      <c r="I24">
        <v>0</v>
      </c>
      <c r="J24">
        <v>990</v>
      </c>
      <c r="K24">
        <v>7</v>
      </c>
      <c r="L24">
        <v>5</v>
      </c>
      <c r="M24">
        <v>16</v>
      </c>
      <c r="N24">
        <v>3</v>
      </c>
      <c r="O24">
        <v>17</v>
      </c>
      <c r="P24">
        <v>4.8</v>
      </c>
      <c r="Q24">
        <v>1</v>
      </c>
      <c r="R24">
        <v>0.8</v>
      </c>
      <c r="S24">
        <v>9</v>
      </c>
      <c r="T24">
        <v>0</v>
      </c>
      <c r="U24">
        <v>0.04</v>
      </c>
      <c r="V24">
        <v>0.04</v>
      </c>
      <c r="W24">
        <v>6.17</v>
      </c>
      <c r="X24">
        <v>11</v>
      </c>
      <c r="Y24" t="s">
        <v>1000</v>
      </c>
      <c r="Z24">
        <v>94</v>
      </c>
      <c r="AA24">
        <v>1</v>
      </c>
      <c r="AB24">
        <v>54</v>
      </c>
      <c r="AC24">
        <v>2</v>
      </c>
      <c r="AD24">
        <v>39</v>
      </c>
      <c r="AE24">
        <v>2</v>
      </c>
      <c r="AF24">
        <v>8</v>
      </c>
      <c r="AG24">
        <v>2</v>
      </c>
      <c r="AH24">
        <f>fpl_player_statistics_cleaned[[#This Row],[Total Points]] / fpl_player_statistics_cleaned[[#This Row],[Now Cost]]</f>
        <v>8.9830508474576263</v>
      </c>
      <c r="AI24">
        <f>fpl_player_statistics_cleaned[[#This Row],[Goals Scored]] + fpl_player_statistics_cleaned[[#This Row],[Assists]]</f>
        <v>0</v>
      </c>
      <c r="AJ24">
        <f>fpl_player_statistics_cleaned[[#This Row],[Total Points]] / fpl_player_statistics_cleaned[[#This Row],[Starts]]</f>
        <v>4.8181818181818183</v>
      </c>
      <c r="AK24">
        <f>((fpl_player_statistics_cleaned[[#This Row],[Points Per Game]]) * fpl_player_statistics_cleaned[[#This Row],[Form]]) / fpl_player_statistics_cleaned[[#This Row],[Now Cost]]</f>
        <v>3.9050847457627116</v>
      </c>
      <c r="AL24">
        <f>fpl_player_statistics_cleaned[[#This Row],[Minutes]] / fpl_player_statistics_cleaned[[#This Row],[Total Points]]</f>
        <v>18.679245283018869</v>
      </c>
      <c r="AM2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206.96949152542368</v>
      </c>
    </row>
    <row r="25" spans="1:39" x14ac:dyDescent="0.2">
      <c r="A25" t="s">
        <v>67</v>
      </c>
      <c r="B25" t="s">
        <v>54</v>
      </c>
      <c r="C25" t="s">
        <v>41</v>
      </c>
      <c r="D25">
        <v>5.0999999999999996</v>
      </c>
      <c r="E25">
        <v>52</v>
      </c>
      <c r="F25">
        <v>4.7</v>
      </c>
      <c r="G25">
        <v>5.9</v>
      </c>
      <c r="H25">
        <v>1</v>
      </c>
      <c r="I25">
        <v>3</v>
      </c>
      <c r="J25">
        <v>990</v>
      </c>
      <c r="K25">
        <v>4</v>
      </c>
      <c r="L25">
        <v>10</v>
      </c>
      <c r="M25">
        <v>0</v>
      </c>
      <c r="N25">
        <v>4</v>
      </c>
      <c r="O25">
        <v>58.1</v>
      </c>
      <c r="P25">
        <v>5</v>
      </c>
      <c r="Q25">
        <v>0</v>
      </c>
      <c r="R25">
        <v>1</v>
      </c>
      <c r="S25">
        <v>10.199999999999999</v>
      </c>
      <c r="T25">
        <v>0.36</v>
      </c>
      <c r="U25">
        <v>1.1299999999999999</v>
      </c>
      <c r="V25">
        <v>1.49</v>
      </c>
      <c r="W25">
        <v>13.26</v>
      </c>
      <c r="X25">
        <v>11</v>
      </c>
      <c r="Y25" t="s">
        <v>1000</v>
      </c>
      <c r="Z25">
        <v>230</v>
      </c>
      <c r="AA25">
        <v>143</v>
      </c>
      <c r="AB25">
        <v>41</v>
      </c>
      <c r="AC25">
        <v>20</v>
      </c>
      <c r="AD25">
        <v>43</v>
      </c>
      <c r="AE25">
        <v>14</v>
      </c>
      <c r="AF25">
        <v>61</v>
      </c>
      <c r="AG25">
        <v>19</v>
      </c>
      <c r="AH25">
        <f>fpl_player_statistics_cleaned[[#This Row],[Total Points]] / fpl_player_statistics_cleaned[[#This Row],[Now Cost]]</f>
        <v>10.19607843137255</v>
      </c>
      <c r="AI25">
        <f>fpl_player_statistics_cleaned[[#This Row],[Goals Scored]] + fpl_player_statistics_cleaned[[#This Row],[Assists]]</f>
        <v>4</v>
      </c>
      <c r="AJ25">
        <f>fpl_player_statistics_cleaned[[#This Row],[Total Points]] / fpl_player_statistics_cleaned[[#This Row],[Starts]]</f>
        <v>4.7272727272727275</v>
      </c>
      <c r="AK25">
        <f>((fpl_player_statistics_cleaned[[#This Row],[Points Per Game]]) * fpl_player_statistics_cleaned[[#This Row],[Form]]) / fpl_player_statistics_cleaned[[#This Row],[Now Cost]]</f>
        <v>4.6078431372549025</v>
      </c>
      <c r="AL25">
        <f>fpl_player_statistics_cleaned[[#This Row],[Minutes]] / fpl_player_statistics_cleaned[[#This Row],[Total Points]]</f>
        <v>19.03846153846154</v>
      </c>
      <c r="AM2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239.60784313725492</v>
      </c>
    </row>
    <row r="26" spans="1:39" x14ac:dyDescent="0.2">
      <c r="A26" t="s">
        <v>68</v>
      </c>
      <c r="B26" t="s">
        <v>43</v>
      </c>
      <c r="C26" t="s">
        <v>38</v>
      </c>
      <c r="D26">
        <v>4.5</v>
      </c>
      <c r="E26">
        <v>52</v>
      </c>
      <c r="F26">
        <v>4.7</v>
      </c>
      <c r="G26">
        <v>3.3</v>
      </c>
      <c r="H26">
        <v>0</v>
      </c>
      <c r="I26">
        <v>0</v>
      </c>
      <c r="J26">
        <v>990</v>
      </c>
      <c r="K26">
        <v>5</v>
      </c>
      <c r="L26">
        <v>9</v>
      </c>
      <c r="M26">
        <v>0</v>
      </c>
      <c r="N26">
        <v>0</v>
      </c>
      <c r="O26">
        <v>35.5</v>
      </c>
      <c r="P26">
        <v>4.8</v>
      </c>
      <c r="Q26">
        <v>0</v>
      </c>
      <c r="R26">
        <v>1.1000000000000001</v>
      </c>
      <c r="S26">
        <v>11.6</v>
      </c>
      <c r="T26">
        <v>0.39</v>
      </c>
      <c r="U26">
        <v>1.02</v>
      </c>
      <c r="V26">
        <v>1.41</v>
      </c>
      <c r="W26">
        <v>12.88</v>
      </c>
      <c r="X26">
        <v>11</v>
      </c>
      <c r="Y26" t="s">
        <v>1000</v>
      </c>
      <c r="Z26">
        <v>418</v>
      </c>
      <c r="AA26">
        <v>86</v>
      </c>
      <c r="AB26">
        <v>48</v>
      </c>
      <c r="AC26">
        <v>16</v>
      </c>
      <c r="AD26">
        <v>41</v>
      </c>
      <c r="AE26">
        <v>22</v>
      </c>
      <c r="AF26">
        <v>95</v>
      </c>
      <c r="AG26">
        <v>34</v>
      </c>
      <c r="AH26">
        <f>fpl_player_statistics_cleaned[[#This Row],[Total Points]] / fpl_player_statistics_cleaned[[#This Row],[Now Cost]]</f>
        <v>11.555555555555555</v>
      </c>
      <c r="AI26">
        <f>fpl_player_statistics_cleaned[[#This Row],[Goals Scored]] + fpl_player_statistics_cleaned[[#This Row],[Assists]]</f>
        <v>0</v>
      </c>
      <c r="AJ26">
        <f>fpl_player_statistics_cleaned[[#This Row],[Total Points]] / fpl_player_statistics_cleaned[[#This Row],[Starts]]</f>
        <v>4.7272727272727275</v>
      </c>
      <c r="AK26">
        <f>((fpl_player_statistics_cleaned[[#This Row],[Points Per Game]]) * fpl_player_statistics_cleaned[[#This Row],[Form]]) / fpl_player_statistics_cleaned[[#This Row],[Now Cost]]</f>
        <v>5.0133333333333328</v>
      </c>
      <c r="AL26">
        <f>fpl_player_statistics_cleaned[[#This Row],[Minutes]] / fpl_player_statistics_cleaned[[#This Row],[Total Points]]</f>
        <v>19.03846153846154</v>
      </c>
      <c r="AM2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260.69333333333333</v>
      </c>
    </row>
    <row r="27" spans="1:39" x14ac:dyDescent="0.2">
      <c r="A27" t="s">
        <v>69</v>
      </c>
      <c r="B27" t="s">
        <v>70</v>
      </c>
      <c r="C27" t="s">
        <v>38</v>
      </c>
      <c r="D27">
        <v>4.5999999999999996</v>
      </c>
      <c r="E27">
        <v>52</v>
      </c>
      <c r="F27">
        <v>4.7</v>
      </c>
      <c r="G27">
        <v>5.4</v>
      </c>
      <c r="H27">
        <v>2</v>
      </c>
      <c r="I27">
        <v>0</v>
      </c>
      <c r="J27">
        <v>966</v>
      </c>
      <c r="K27">
        <v>4</v>
      </c>
      <c r="L27">
        <v>9</v>
      </c>
      <c r="M27">
        <v>0</v>
      </c>
      <c r="N27">
        <v>5</v>
      </c>
      <c r="O27">
        <v>43.1</v>
      </c>
      <c r="P27">
        <v>5.8</v>
      </c>
      <c r="Q27">
        <v>2</v>
      </c>
      <c r="R27">
        <v>1.3</v>
      </c>
      <c r="S27">
        <v>11.3</v>
      </c>
      <c r="T27">
        <v>0.22</v>
      </c>
      <c r="U27">
        <v>0.71</v>
      </c>
      <c r="V27">
        <v>0.93</v>
      </c>
      <c r="W27">
        <v>13.58</v>
      </c>
      <c r="X27">
        <v>11</v>
      </c>
      <c r="Y27" t="s">
        <v>1000</v>
      </c>
      <c r="Z27">
        <v>388</v>
      </c>
      <c r="AA27">
        <v>68</v>
      </c>
      <c r="AB27">
        <v>23</v>
      </c>
      <c r="AC27">
        <v>10</v>
      </c>
      <c r="AD27">
        <v>42</v>
      </c>
      <c r="AE27">
        <v>23</v>
      </c>
      <c r="AF27">
        <v>67</v>
      </c>
      <c r="AG27">
        <v>21</v>
      </c>
      <c r="AH27">
        <f>fpl_player_statistics_cleaned[[#This Row],[Total Points]] / fpl_player_statistics_cleaned[[#This Row],[Now Cost]]</f>
        <v>11.304347826086957</v>
      </c>
      <c r="AI27">
        <f>fpl_player_statistics_cleaned[[#This Row],[Goals Scored]] + fpl_player_statistics_cleaned[[#This Row],[Assists]]</f>
        <v>2</v>
      </c>
      <c r="AJ27">
        <f>fpl_player_statistics_cleaned[[#This Row],[Total Points]] / fpl_player_statistics_cleaned[[#This Row],[Starts]]</f>
        <v>4.7272727272727275</v>
      </c>
      <c r="AK27">
        <f>((fpl_player_statistics_cleaned[[#This Row],[Points Per Game]]) * fpl_player_statistics_cleaned[[#This Row],[Form]]) / fpl_player_statistics_cleaned[[#This Row],[Now Cost]]</f>
        <v>5.9260869565217398</v>
      </c>
      <c r="AL27">
        <f>fpl_player_statistics_cleaned[[#This Row],[Minutes]] / fpl_player_statistics_cleaned[[#This Row],[Total Points]]</f>
        <v>18.576923076923077</v>
      </c>
      <c r="AM2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308.15652173913043</v>
      </c>
    </row>
    <row r="28" spans="1:39" x14ac:dyDescent="0.2">
      <c r="A28" t="s">
        <v>71</v>
      </c>
      <c r="B28" t="s">
        <v>72</v>
      </c>
      <c r="C28" t="s">
        <v>55</v>
      </c>
      <c r="D28">
        <v>5.2</v>
      </c>
      <c r="E28">
        <v>52</v>
      </c>
      <c r="F28">
        <v>4.7</v>
      </c>
      <c r="G28">
        <v>11.9</v>
      </c>
      <c r="H28">
        <v>0</v>
      </c>
      <c r="I28">
        <v>1</v>
      </c>
      <c r="J28">
        <v>976</v>
      </c>
      <c r="K28">
        <v>5</v>
      </c>
      <c r="L28">
        <v>12</v>
      </c>
      <c r="M28">
        <v>36</v>
      </c>
      <c r="N28">
        <v>3</v>
      </c>
      <c r="O28">
        <v>28.4</v>
      </c>
      <c r="P28">
        <v>2.8</v>
      </c>
      <c r="Q28">
        <v>1</v>
      </c>
      <c r="R28">
        <v>0.5</v>
      </c>
      <c r="S28">
        <v>10</v>
      </c>
      <c r="T28">
        <v>0</v>
      </c>
      <c r="U28">
        <v>0</v>
      </c>
      <c r="V28">
        <v>0</v>
      </c>
      <c r="W28">
        <v>9.99</v>
      </c>
      <c r="X28">
        <v>11</v>
      </c>
      <c r="Y28" t="s">
        <v>1000</v>
      </c>
      <c r="Z28">
        <v>212</v>
      </c>
      <c r="AA28">
        <v>6</v>
      </c>
      <c r="AB28">
        <v>142</v>
      </c>
      <c r="AC28">
        <v>15</v>
      </c>
      <c r="AD28">
        <v>44</v>
      </c>
      <c r="AE28">
        <v>3</v>
      </c>
      <c r="AF28">
        <v>36</v>
      </c>
      <c r="AG28">
        <v>4</v>
      </c>
      <c r="AH28">
        <f>fpl_player_statistics_cleaned[[#This Row],[Total Points]] / fpl_player_statistics_cleaned[[#This Row],[Now Cost]]</f>
        <v>10</v>
      </c>
      <c r="AI28">
        <f>fpl_player_statistics_cleaned[[#This Row],[Goals Scored]] + fpl_player_statistics_cleaned[[#This Row],[Assists]]</f>
        <v>1</v>
      </c>
      <c r="AJ28">
        <f>fpl_player_statistics_cleaned[[#This Row],[Total Points]] / fpl_player_statistics_cleaned[[#This Row],[Starts]]</f>
        <v>4.7272727272727275</v>
      </c>
      <c r="AK28">
        <f>((fpl_player_statistics_cleaned[[#This Row],[Points Per Game]]) * fpl_player_statistics_cleaned[[#This Row],[Form]]) / fpl_player_statistics_cleaned[[#This Row],[Now Cost]]</f>
        <v>2.5307692307692307</v>
      </c>
      <c r="AL28">
        <f>fpl_player_statistics_cleaned[[#This Row],[Minutes]] / fpl_player_statistics_cleaned[[#This Row],[Total Points]]</f>
        <v>18.76923076923077</v>
      </c>
      <c r="AM2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131.6</v>
      </c>
    </row>
    <row r="29" spans="1:39" hidden="1" x14ac:dyDescent="0.2">
      <c r="A29" t="s">
        <v>73</v>
      </c>
      <c r="B29" t="s">
        <v>47</v>
      </c>
      <c r="C29" t="s">
        <v>41</v>
      </c>
      <c r="D29">
        <v>7.1</v>
      </c>
      <c r="E29">
        <v>52</v>
      </c>
      <c r="F29">
        <v>4.7</v>
      </c>
      <c r="G29">
        <v>6</v>
      </c>
      <c r="H29">
        <v>3</v>
      </c>
      <c r="I29">
        <v>2</v>
      </c>
      <c r="J29">
        <v>829</v>
      </c>
      <c r="K29">
        <v>5</v>
      </c>
      <c r="L29">
        <v>6</v>
      </c>
      <c r="M29">
        <v>0</v>
      </c>
      <c r="N29">
        <v>5</v>
      </c>
      <c r="O29">
        <v>65.900000000000006</v>
      </c>
      <c r="P29">
        <v>8</v>
      </c>
      <c r="Q29">
        <v>1</v>
      </c>
      <c r="R29">
        <v>1.1000000000000001</v>
      </c>
      <c r="S29">
        <v>7.3</v>
      </c>
      <c r="T29">
        <v>2.06</v>
      </c>
      <c r="U29">
        <v>2.21</v>
      </c>
      <c r="V29">
        <v>4.2699999999999996</v>
      </c>
      <c r="W29">
        <v>9.1999999999999993</v>
      </c>
      <c r="X29">
        <v>11</v>
      </c>
      <c r="Y29" t="s">
        <v>74</v>
      </c>
      <c r="Z29">
        <v>32</v>
      </c>
      <c r="AA29">
        <v>18</v>
      </c>
      <c r="AB29">
        <v>4</v>
      </c>
      <c r="AC29">
        <v>3</v>
      </c>
      <c r="AD29">
        <v>47</v>
      </c>
      <c r="AE29">
        <v>17</v>
      </c>
      <c r="AF29">
        <v>60</v>
      </c>
      <c r="AG29">
        <v>18</v>
      </c>
      <c r="AI29">
        <v>9.2857142857142865</v>
      </c>
    </row>
    <row r="30" spans="1:39" x14ac:dyDescent="0.2">
      <c r="A30" t="s">
        <v>75</v>
      </c>
      <c r="B30" t="s">
        <v>63</v>
      </c>
      <c r="C30" t="s">
        <v>41</v>
      </c>
      <c r="D30">
        <v>5.6</v>
      </c>
      <c r="E30">
        <v>52</v>
      </c>
      <c r="F30">
        <v>5.8</v>
      </c>
      <c r="G30">
        <v>4.5999999999999996</v>
      </c>
      <c r="H30">
        <v>3</v>
      </c>
      <c r="I30">
        <v>2</v>
      </c>
      <c r="J30">
        <v>781</v>
      </c>
      <c r="K30">
        <v>3</v>
      </c>
      <c r="L30">
        <v>11</v>
      </c>
      <c r="M30">
        <v>0</v>
      </c>
      <c r="N30">
        <v>10</v>
      </c>
      <c r="O30">
        <v>42.1</v>
      </c>
      <c r="P30">
        <v>3.8</v>
      </c>
      <c r="Q30">
        <v>2</v>
      </c>
      <c r="R30">
        <v>0.7</v>
      </c>
      <c r="S30">
        <v>9.3000000000000007</v>
      </c>
      <c r="T30">
        <v>0.56000000000000005</v>
      </c>
      <c r="U30">
        <v>0.57999999999999996</v>
      </c>
      <c r="V30">
        <v>1.1399999999999999</v>
      </c>
      <c r="W30">
        <v>8.8800000000000008</v>
      </c>
      <c r="X30">
        <v>9</v>
      </c>
      <c r="Y30" t="s">
        <v>1000</v>
      </c>
      <c r="Z30">
        <v>132</v>
      </c>
      <c r="AA30">
        <v>84</v>
      </c>
      <c r="AB30">
        <v>95</v>
      </c>
      <c r="AC30">
        <v>44</v>
      </c>
      <c r="AD30">
        <v>10</v>
      </c>
      <c r="AE30">
        <v>4</v>
      </c>
      <c r="AF30">
        <v>80</v>
      </c>
      <c r="AG30">
        <v>25</v>
      </c>
      <c r="AH30">
        <f>fpl_player_statistics_cleaned[[#This Row],[Total Points]] / fpl_player_statistics_cleaned[[#This Row],[Now Cost]]</f>
        <v>9.2857142857142865</v>
      </c>
      <c r="AI30">
        <f>fpl_player_statistics_cleaned[[#This Row],[Goals Scored]] + fpl_player_statistics_cleaned[[#This Row],[Assists]]</f>
        <v>5</v>
      </c>
      <c r="AJ30">
        <f>fpl_player_statistics_cleaned[[#This Row],[Total Points]] / fpl_player_statistics_cleaned[[#This Row],[Starts]]</f>
        <v>5.7777777777777777</v>
      </c>
      <c r="AK30">
        <f>((fpl_player_statistics_cleaned[[#This Row],[Points Per Game]]) * fpl_player_statistics_cleaned[[#This Row],[Form]]) / fpl_player_statistics_cleaned[[#This Row],[Now Cost]]</f>
        <v>3.9357142857142859</v>
      </c>
      <c r="AL30">
        <f>fpl_player_statistics_cleaned[[#This Row],[Minutes]] / fpl_player_statistics_cleaned[[#This Row],[Total Points]]</f>
        <v>15.01923076923077</v>
      </c>
      <c r="AM3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204.65714285714284</v>
      </c>
    </row>
    <row r="31" spans="1:39" x14ac:dyDescent="0.2">
      <c r="A31" t="s">
        <v>76</v>
      </c>
      <c r="B31" t="s">
        <v>54</v>
      </c>
      <c r="C31" t="s">
        <v>38</v>
      </c>
      <c r="D31">
        <v>4.2</v>
      </c>
      <c r="E31">
        <v>51</v>
      </c>
      <c r="F31">
        <v>5.7</v>
      </c>
      <c r="G31">
        <v>5.7</v>
      </c>
      <c r="H31">
        <v>1</v>
      </c>
      <c r="I31">
        <v>1</v>
      </c>
      <c r="J31">
        <v>810</v>
      </c>
      <c r="K31">
        <v>3</v>
      </c>
      <c r="L31">
        <v>8</v>
      </c>
      <c r="M31">
        <v>0</v>
      </c>
      <c r="N31">
        <v>5</v>
      </c>
      <c r="O31">
        <v>37</v>
      </c>
      <c r="P31">
        <v>6</v>
      </c>
      <c r="Q31">
        <v>2</v>
      </c>
      <c r="R31">
        <v>1.4</v>
      </c>
      <c r="S31">
        <v>12.1</v>
      </c>
      <c r="T31">
        <v>0.56000000000000005</v>
      </c>
      <c r="U31">
        <v>0.67</v>
      </c>
      <c r="V31">
        <v>1.23</v>
      </c>
      <c r="W31">
        <v>11.7</v>
      </c>
      <c r="X31">
        <v>9</v>
      </c>
      <c r="Y31" t="s">
        <v>1000</v>
      </c>
      <c r="Z31">
        <v>611</v>
      </c>
      <c r="AA31">
        <v>157</v>
      </c>
      <c r="AB31">
        <v>17</v>
      </c>
      <c r="AC31">
        <v>6</v>
      </c>
      <c r="AD31">
        <v>11</v>
      </c>
      <c r="AE31">
        <v>6</v>
      </c>
      <c r="AF31">
        <v>62</v>
      </c>
      <c r="AG31">
        <v>19</v>
      </c>
      <c r="AH31">
        <f>fpl_player_statistics_cleaned[[#This Row],[Total Points]] / fpl_player_statistics_cleaned[[#This Row],[Now Cost]]</f>
        <v>12.142857142857142</v>
      </c>
      <c r="AI31">
        <f>fpl_player_statistics_cleaned[[#This Row],[Goals Scored]] + fpl_player_statistics_cleaned[[#This Row],[Assists]]</f>
        <v>2</v>
      </c>
      <c r="AJ31">
        <f>fpl_player_statistics_cleaned[[#This Row],[Total Points]] / fpl_player_statistics_cleaned[[#This Row],[Starts]]</f>
        <v>5.666666666666667</v>
      </c>
      <c r="AK31">
        <f>((fpl_player_statistics_cleaned[[#This Row],[Points Per Game]]) * fpl_player_statistics_cleaned[[#This Row],[Form]]) / fpl_player_statistics_cleaned[[#This Row],[Now Cost]]</f>
        <v>8.1428571428571423</v>
      </c>
      <c r="AL31">
        <f>fpl_player_statistics_cleaned[[#This Row],[Minutes]] / fpl_player_statistics_cleaned[[#This Row],[Total Points]]</f>
        <v>15.882352941176471</v>
      </c>
      <c r="AM3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415.28571428571422</v>
      </c>
    </row>
    <row r="32" spans="1:39" x14ac:dyDescent="0.2">
      <c r="A32" t="s">
        <v>904</v>
      </c>
      <c r="B32" t="s">
        <v>34</v>
      </c>
      <c r="C32" t="s">
        <v>38</v>
      </c>
      <c r="D32">
        <v>4.9000000000000004</v>
      </c>
      <c r="E32">
        <v>51</v>
      </c>
      <c r="F32">
        <v>5.0999999999999996</v>
      </c>
      <c r="G32">
        <v>1.4</v>
      </c>
      <c r="H32">
        <v>1</v>
      </c>
      <c r="I32">
        <v>2</v>
      </c>
      <c r="J32">
        <v>683</v>
      </c>
      <c r="K32">
        <v>5</v>
      </c>
      <c r="L32">
        <v>3</v>
      </c>
      <c r="M32">
        <v>0</v>
      </c>
      <c r="N32">
        <v>2</v>
      </c>
      <c r="O32">
        <v>41.8</v>
      </c>
      <c r="P32">
        <v>7.8</v>
      </c>
      <c r="Q32">
        <v>0</v>
      </c>
      <c r="R32">
        <v>1.6</v>
      </c>
      <c r="S32">
        <v>10.4</v>
      </c>
      <c r="T32">
        <v>0.92</v>
      </c>
      <c r="U32">
        <v>0.61</v>
      </c>
      <c r="V32">
        <v>1.53</v>
      </c>
      <c r="W32">
        <v>7.5</v>
      </c>
      <c r="X32">
        <v>7</v>
      </c>
      <c r="Y32" t="s">
        <v>1000</v>
      </c>
      <c r="Z32">
        <v>331</v>
      </c>
      <c r="AA32">
        <v>55</v>
      </c>
      <c r="AB32">
        <v>6</v>
      </c>
      <c r="AC32">
        <v>2</v>
      </c>
      <c r="AD32">
        <v>27</v>
      </c>
      <c r="AE32">
        <v>17</v>
      </c>
      <c r="AF32">
        <v>155</v>
      </c>
      <c r="AG32">
        <v>59</v>
      </c>
      <c r="AH32">
        <f>fpl_player_statistics_cleaned[[#This Row],[Total Points]] / fpl_player_statistics_cleaned[[#This Row],[Now Cost]]</f>
        <v>10.408163265306122</v>
      </c>
      <c r="AI32">
        <f>fpl_player_statistics_cleaned[[#This Row],[Goals Scored]] + fpl_player_statistics_cleaned[[#This Row],[Assists]]</f>
        <v>3</v>
      </c>
      <c r="AJ32">
        <f>fpl_player_statistics_cleaned[[#This Row],[Total Points]] / fpl_player_statistics_cleaned[[#This Row],[Starts]]</f>
        <v>7.2857142857142856</v>
      </c>
      <c r="AK32">
        <f>((fpl_player_statistics_cleaned[[#This Row],[Points Per Game]]) * fpl_player_statistics_cleaned[[#This Row],[Form]]) / fpl_player_statistics_cleaned[[#This Row],[Now Cost]]</f>
        <v>8.1183673469387738</v>
      </c>
      <c r="AL32">
        <f>fpl_player_statistics_cleaned[[#This Row],[Minutes]] / fpl_player_statistics_cleaned[[#This Row],[Total Points]]</f>
        <v>13.392156862745098</v>
      </c>
      <c r="AM3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414.03673469387752</v>
      </c>
    </row>
    <row r="33" spans="1:39" x14ac:dyDescent="0.2">
      <c r="A33" t="s">
        <v>905</v>
      </c>
      <c r="B33" t="s">
        <v>51</v>
      </c>
      <c r="C33" t="s">
        <v>41</v>
      </c>
      <c r="D33">
        <v>5.5</v>
      </c>
      <c r="E33">
        <v>51</v>
      </c>
      <c r="F33">
        <v>4.5999999999999996</v>
      </c>
      <c r="G33">
        <v>1.8</v>
      </c>
      <c r="H33">
        <v>2</v>
      </c>
      <c r="I33">
        <v>1</v>
      </c>
      <c r="J33">
        <v>861</v>
      </c>
      <c r="K33">
        <v>3</v>
      </c>
      <c r="L33">
        <v>9</v>
      </c>
      <c r="M33">
        <v>0</v>
      </c>
      <c r="N33">
        <v>8</v>
      </c>
      <c r="O33">
        <v>38.299999999999997</v>
      </c>
      <c r="P33">
        <v>5.2</v>
      </c>
      <c r="Q33">
        <v>0</v>
      </c>
      <c r="R33">
        <v>0.9</v>
      </c>
      <c r="S33">
        <v>9.3000000000000007</v>
      </c>
      <c r="T33">
        <v>0.66</v>
      </c>
      <c r="U33">
        <v>0.33</v>
      </c>
      <c r="V33">
        <v>0.99</v>
      </c>
      <c r="W33">
        <v>13.63</v>
      </c>
      <c r="X33">
        <v>10</v>
      </c>
      <c r="Y33" t="s">
        <v>1000</v>
      </c>
      <c r="Z33">
        <v>136</v>
      </c>
      <c r="AA33">
        <v>87</v>
      </c>
      <c r="AB33">
        <v>38</v>
      </c>
      <c r="AC33">
        <v>18</v>
      </c>
      <c r="AD33">
        <v>48</v>
      </c>
      <c r="AE33">
        <v>18</v>
      </c>
      <c r="AF33">
        <v>134</v>
      </c>
      <c r="AG33">
        <v>47</v>
      </c>
      <c r="AH33">
        <f>fpl_player_statistics_cleaned[[#This Row],[Total Points]] / fpl_player_statistics_cleaned[[#This Row],[Now Cost]]</f>
        <v>9.2727272727272734</v>
      </c>
      <c r="AI33">
        <f>fpl_player_statistics_cleaned[[#This Row],[Goals Scored]] + fpl_player_statistics_cleaned[[#This Row],[Assists]]</f>
        <v>3</v>
      </c>
      <c r="AJ33">
        <f>fpl_player_statistics_cleaned[[#This Row],[Total Points]] / fpl_player_statistics_cleaned[[#This Row],[Starts]]</f>
        <v>5.0999999999999996</v>
      </c>
      <c r="AK33">
        <f>((fpl_player_statistics_cleaned[[#This Row],[Points Per Game]]) * fpl_player_statistics_cleaned[[#This Row],[Form]]) / fpl_player_statistics_cleaned[[#This Row],[Now Cost]]</f>
        <v>4.3490909090909087</v>
      </c>
      <c r="AL33">
        <f>fpl_player_statistics_cleaned[[#This Row],[Minutes]] / fpl_player_statistics_cleaned[[#This Row],[Total Points]]</f>
        <v>16.882352941176471</v>
      </c>
      <c r="AM3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221.80363636363634</v>
      </c>
    </row>
    <row r="34" spans="1:39" x14ac:dyDescent="0.2">
      <c r="A34" t="s">
        <v>77</v>
      </c>
      <c r="B34" t="s">
        <v>72</v>
      </c>
      <c r="C34" t="s">
        <v>41</v>
      </c>
      <c r="D34">
        <v>6.6</v>
      </c>
      <c r="E34">
        <v>50</v>
      </c>
      <c r="F34">
        <v>5</v>
      </c>
      <c r="G34">
        <v>3.7</v>
      </c>
      <c r="H34">
        <v>3</v>
      </c>
      <c r="I34">
        <v>2</v>
      </c>
      <c r="J34">
        <v>895</v>
      </c>
      <c r="K34">
        <v>4</v>
      </c>
      <c r="L34">
        <v>14</v>
      </c>
      <c r="M34">
        <v>0</v>
      </c>
      <c r="N34">
        <v>6</v>
      </c>
      <c r="O34">
        <v>56</v>
      </c>
      <c r="P34">
        <v>5</v>
      </c>
      <c r="Q34">
        <v>1</v>
      </c>
      <c r="R34">
        <v>0.8</v>
      </c>
      <c r="S34">
        <v>7.6</v>
      </c>
      <c r="T34">
        <v>1.56</v>
      </c>
      <c r="U34">
        <v>0.98</v>
      </c>
      <c r="V34">
        <v>2.54</v>
      </c>
      <c r="W34">
        <v>10.61</v>
      </c>
      <c r="X34">
        <v>10</v>
      </c>
      <c r="Y34" t="s">
        <v>1000</v>
      </c>
      <c r="Z34">
        <v>51</v>
      </c>
      <c r="AA34">
        <v>35</v>
      </c>
      <c r="AB34">
        <v>45</v>
      </c>
      <c r="AC34">
        <v>23</v>
      </c>
      <c r="AD34">
        <v>32</v>
      </c>
      <c r="AE34">
        <v>8</v>
      </c>
      <c r="AF34">
        <v>90</v>
      </c>
      <c r="AG34">
        <v>29</v>
      </c>
      <c r="AH34">
        <f>fpl_player_statistics_cleaned[[#This Row],[Total Points]] / fpl_player_statistics_cleaned[[#This Row],[Now Cost]]</f>
        <v>7.5757575757575761</v>
      </c>
      <c r="AI34">
        <f>fpl_player_statistics_cleaned[[#This Row],[Goals Scored]] + fpl_player_statistics_cleaned[[#This Row],[Assists]]</f>
        <v>5</v>
      </c>
      <c r="AJ34">
        <f>fpl_player_statistics_cleaned[[#This Row],[Total Points]] / fpl_player_statistics_cleaned[[#This Row],[Starts]]</f>
        <v>5</v>
      </c>
      <c r="AK34">
        <f>((fpl_player_statistics_cleaned[[#This Row],[Points Per Game]]) * fpl_player_statistics_cleaned[[#This Row],[Form]]) / fpl_player_statistics_cleaned[[#This Row],[Now Cost]]</f>
        <v>3.7878787878787881</v>
      </c>
      <c r="AL34">
        <f>fpl_player_statistics_cleaned[[#This Row],[Minutes]] / fpl_player_statistics_cleaned[[#This Row],[Total Points]]</f>
        <v>17.899999999999999</v>
      </c>
      <c r="AM3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189.39393939393941</v>
      </c>
    </row>
    <row r="35" spans="1:39" x14ac:dyDescent="0.2">
      <c r="A35" t="s">
        <v>78</v>
      </c>
      <c r="B35" t="s">
        <v>49</v>
      </c>
      <c r="C35" t="s">
        <v>41</v>
      </c>
      <c r="D35">
        <v>8.9</v>
      </c>
      <c r="E35">
        <v>50</v>
      </c>
      <c r="F35">
        <v>4.5</v>
      </c>
      <c r="G35">
        <v>16.2</v>
      </c>
      <c r="H35">
        <v>2</v>
      </c>
      <c r="I35">
        <v>3</v>
      </c>
      <c r="J35">
        <v>980</v>
      </c>
      <c r="K35">
        <v>1</v>
      </c>
      <c r="L35">
        <v>18</v>
      </c>
      <c r="M35">
        <v>0</v>
      </c>
      <c r="N35">
        <v>8</v>
      </c>
      <c r="O35">
        <v>92.2</v>
      </c>
      <c r="P35">
        <v>5.5</v>
      </c>
      <c r="Q35">
        <v>1</v>
      </c>
      <c r="R35">
        <v>0.6</v>
      </c>
      <c r="S35">
        <v>5.6</v>
      </c>
      <c r="T35">
        <v>4.5999999999999996</v>
      </c>
      <c r="U35">
        <v>1.82</v>
      </c>
      <c r="V35">
        <v>6.42</v>
      </c>
      <c r="W35">
        <v>16.25</v>
      </c>
      <c r="X35">
        <v>11</v>
      </c>
      <c r="Y35" t="s">
        <v>1000</v>
      </c>
      <c r="Z35">
        <v>6</v>
      </c>
      <c r="AA35">
        <v>4</v>
      </c>
      <c r="AB35">
        <v>31</v>
      </c>
      <c r="AC35">
        <v>15</v>
      </c>
      <c r="AD35">
        <v>54</v>
      </c>
      <c r="AE35">
        <v>22</v>
      </c>
      <c r="AF35">
        <v>24</v>
      </c>
      <c r="AG35">
        <v>10</v>
      </c>
      <c r="AH35">
        <f>fpl_player_statistics_cleaned[[#This Row],[Total Points]] / fpl_player_statistics_cleaned[[#This Row],[Now Cost]]</f>
        <v>5.6179775280898872</v>
      </c>
      <c r="AI35">
        <f>fpl_player_statistics_cleaned[[#This Row],[Goals Scored]] + fpl_player_statistics_cleaned[[#This Row],[Assists]]</f>
        <v>5</v>
      </c>
      <c r="AJ35">
        <f>fpl_player_statistics_cleaned[[#This Row],[Total Points]] / fpl_player_statistics_cleaned[[#This Row],[Starts]]</f>
        <v>4.5454545454545459</v>
      </c>
      <c r="AK35">
        <f>((fpl_player_statistics_cleaned[[#This Row],[Points Per Game]]) * fpl_player_statistics_cleaned[[#This Row],[Form]]) / fpl_player_statistics_cleaned[[#This Row],[Now Cost]]</f>
        <v>2.7808988764044944</v>
      </c>
      <c r="AL35">
        <f>fpl_player_statistics_cleaned[[#This Row],[Minutes]] / fpl_player_statistics_cleaned[[#This Row],[Total Points]]</f>
        <v>19.600000000000001</v>
      </c>
      <c r="AM3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139.04494382022472</v>
      </c>
    </row>
    <row r="36" spans="1:39" x14ac:dyDescent="0.2">
      <c r="A36" t="s">
        <v>79</v>
      </c>
      <c r="B36" t="s">
        <v>43</v>
      </c>
      <c r="C36" t="s">
        <v>35</v>
      </c>
      <c r="D36">
        <v>8</v>
      </c>
      <c r="E36">
        <v>50</v>
      </c>
      <c r="F36">
        <v>4.5</v>
      </c>
      <c r="G36">
        <v>28.5</v>
      </c>
      <c r="H36">
        <v>6</v>
      </c>
      <c r="I36">
        <v>0</v>
      </c>
      <c r="J36">
        <v>959</v>
      </c>
      <c r="K36">
        <v>6</v>
      </c>
      <c r="L36">
        <v>7</v>
      </c>
      <c r="M36">
        <v>0</v>
      </c>
      <c r="N36">
        <v>6</v>
      </c>
      <c r="O36">
        <v>75.3</v>
      </c>
      <c r="P36">
        <v>7.5</v>
      </c>
      <c r="Q36">
        <v>1</v>
      </c>
      <c r="R36">
        <v>0.9</v>
      </c>
      <c r="S36">
        <v>6.2</v>
      </c>
      <c r="T36">
        <v>8.18</v>
      </c>
      <c r="U36">
        <v>0.62</v>
      </c>
      <c r="V36">
        <v>8.8000000000000007</v>
      </c>
      <c r="W36">
        <v>11.01</v>
      </c>
      <c r="X36">
        <v>11</v>
      </c>
      <c r="Y36" t="s">
        <v>1000</v>
      </c>
      <c r="Z36">
        <v>15</v>
      </c>
      <c r="AA36">
        <v>6</v>
      </c>
      <c r="AB36">
        <v>7</v>
      </c>
      <c r="AC36">
        <v>2</v>
      </c>
      <c r="AD36">
        <v>53</v>
      </c>
      <c r="AE36">
        <v>5</v>
      </c>
      <c r="AF36">
        <v>10</v>
      </c>
      <c r="AG36">
        <v>3</v>
      </c>
      <c r="AH36">
        <f>fpl_player_statistics_cleaned[[#This Row],[Total Points]] / fpl_player_statistics_cleaned[[#This Row],[Now Cost]]</f>
        <v>6.25</v>
      </c>
      <c r="AI36">
        <f>fpl_player_statistics_cleaned[[#This Row],[Goals Scored]] + fpl_player_statistics_cleaned[[#This Row],[Assists]]</f>
        <v>6</v>
      </c>
      <c r="AJ36">
        <f>fpl_player_statistics_cleaned[[#This Row],[Total Points]] / fpl_player_statistics_cleaned[[#This Row],[Starts]]</f>
        <v>4.5454545454545459</v>
      </c>
      <c r="AK36">
        <f>((fpl_player_statistics_cleaned[[#This Row],[Points Per Game]]) * fpl_player_statistics_cleaned[[#This Row],[Form]]) / fpl_player_statistics_cleaned[[#This Row],[Now Cost]]</f>
        <v>4.21875</v>
      </c>
      <c r="AL36">
        <f>fpl_player_statistics_cleaned[[#This Row],[Minutes]] / fpl_player_statistics_cleaned[[#This Row],[Total Points]]</f>
        <v>19.18</v>
      </c>
      <c r="AM3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210.9375</v>
      </c>
    </row>
    <row r="37" spans="1:39" x14ac:dyDescent="0.2">
      <c r="A37" t="s">
        <v>80</v>
      </c>
      <c r="B37" t="s">
        <v>81</v>
      </c>
      <c r="C37" t="s">
        <v>41</v>
      </c>
      <c r="D37">
        <v>6</v>
      </c>
      <c r="E37">
        <v>50</v>
      </c>
      <c r="F37">
        <v>4.5</v>
      </c>
      <c r="G37">
        <v>4.7</v>
      </c>
      <c r="H37">
        <v>1</v>
      </c>
      <c r="I37">
        <v>5</v>
      </c>
      <c r="J37">
        <v>949</v>
      </c>
      <c r="K37">
        <v>3</v>
      </c>
      <c r="L37">
        <v>13</v>
      </c>
      <c r="M37">
        <v>0</v>
      </c>
      <c r="N37">
        <v>3</v>
      </c>
      <c r="O37">
        <v>68.900000000000006</v>
      </c>
      <c r="P37">
        <v>4.8</v>
      </c>
      <c r="Q37">
        <v>0</v>
      </c>
      <c r="R37">
        <v>0.8</v>
      </c>
      <c r="S37">
        <v>8.3000000000000007</v>
      </c>
      <c r="T37">
        <v>2.13</v>
      </c>
      <c r="U37">
        <v>1.72</v>
      </c>
      <c r="V37">
        <v>3.85</v>
      </c>
      <c r="W37">
        <v>12.76</v>
      </c>
      <c r="X37">
        <v>11</v>
      </c>
      <c r="Y37" t="s">
        <v>1000</v>
      </c>
      <c r="Z37">
        <v>91</v>
      </c>
      <c r="AA37">
        <v>60</v>
      </c>
      <c r="AB37">
        <v>55</v>
      </c>
      <c r="AC37">
        <v>28</v>
      </c>
      <c r="AD37">
        <v>50</v>
      </c>
      <c r="AE37">
        <v>20</v>
      </c>
      <c r="AF37">
        <v>75</v>
      </c>
      <c r="AG37">
        <v>23</v>
      </c>
      <c r="AH37">
        <f>fpl_player_statistics_cleaned[[#This Row],[Total Points]] / fpl_player_statistics_cleaned[[#This Row],[Now Cost]]</f>
        <v>8.3333333333333339</v>
      </c>
      <c r="AI37">
        <f>fpl_player_statistics_cleaned[[#This Row],[Goals Scored]] + fpl_player_statistics_cleaned[[#This Row],[Assists]]</f>
        <v>6</v>
      </c>
      <c r="AJ37">
        <f>fpl_player_statistics_cleaned[[#This Row],[Total Points]] / fpl_player_statistics_cleaned[[#This Row],[Starts]]</f>
        <v>4.5454545454545459</v>
      </c>
      <c r="AK37">
        <f>((fpl_player_statistics_cleaned[[#This Row],[Points Per Game]]) * fpl_player_statistics_cleaned[[#This Row],[Form]]) / fpl_player_statistics_cleaned[[#This Row],[Now Cost]]</f>
        <v>3.5999999999999996</v>
      </c>
      <c r="AL37">
        <f>fpl_player_statistics_cleaned[[#This Row],[Minutes]] / fpl_player_statistics_cleaned[[#This Row],[Total Points]]</f>
        <v>18.98</v>
      </c>
      <c r="AM3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180</v>
      </c>
    </row>
    <row r="38" spans="1:39" x14ac:dyDescent="0.2">
      <c r="A38" t="s">
        <v>82</v>
      </c>
      <c r="B38" t="s">
        <v>65</v>
      </c>
      <c r="C38" t="s">
        <v>41</v>
      </c>
      <c r="D38">
        <v>5.7</v>
      </c>
      <c r="E38">
        <v>49</v>
      </c>
      <c r="F38">
        <v>4.5</v>
      </c>
      <c r="G38">
        <v>5.6</v>
      </c>
      <c r="H38">
        <v>4</v>
      </c>
      <c r="I38">
        <v>1</v>
      </c>
      <c r="J38">
        <v>886</v>
      </c>
      <c r="K38">
        <v>3</v>
      </c>
      <c r="L38">
        <v>17</v>
      </c>
      <c r="M38">
        <v>0</v>
      </c>
      <c r="N38">
        <v>5</v>
      </c>
      <c r="O38">
        <v>59.8</v>
      </c>
      <c r="P38">
        <v>2</v>
      </c>
      <c r="Q38">
        <v>2</v>
      </c>
      <c r="R38">
        <v>0.4</v>
      </c>
      <c r="S38">
        <v>8.6</v>
      </c>
      <c r="T38">
        <v>2.27</v>
      </c>
      <c r="U38">
        <v>1.19</v>
      </c>
      <c r="V38">
        <v>3.46</v>
      </c>
      <c r="W38">
        <v>20.66</v>
      </c>
      <c r="X38">
        <v>11</v>
      </c>
      <c r="Y38" t="s">
        <v>1000</v>
      </c>
      <c r="Z38">
        <v>122</v>
      </c>
      <c r="AA38">
        <v>79</v>
      </c>
      <c r="AB38">
        <v>191</v>
      </c>
      <c r="AC38">
        <v>93</v>
      </c>
      <c r="AD38">
        <v>49</v>
      </c>
      <c r="AE38">
        <v>19</v>
      </c>
      <c r="AF38">
        <v>65</v>
      </c>
      <c r="AG38">
        <v>20</v>
      </c>
      <c r="AH38">
        <f>fpl_player_statistics_cleaned[[#This Row],[Total Points]] / fpl_player_statistics_cleaned[[#This Row],[Now Cost]]</f>
        <v>8.5964912280701746</v>
      </c>
      <c r="AI38">
        <f>fpl_player_statistics_cleaned[[#This Row],[Goals Scored]] + fpl_player_statistics_cleaned[[#This Row],[Assists]]</f>
        <v>5</v>
      </c>
      <c r="AJ38">
        <f>fpl_player_statistics_cleaned[[#This Row],[Total Points]] / fpl_player_statistics_cleaned[[#This Row],[Starts]]</f>
        <v>4.4545454545454541</v>
      </c>
      <c r="AK38">
        <f>((fpl_player_statistics_cleaned[[#This Row],[Points Per Game]]) * fpl_player_statistics_cleaned[[#This Row],[Form]]) / fpl_player_statistics_cleaned[[#This Row],[Now Cost]]</f>
        <v>1.5789473684210527</v>
      </c>
      <c r="AL38">
        <f>fpl_player_statistics_cleaned[[#This Row],[Minutes]] / fpl_player_statistics_cleaned[[#This Row],[Total Points]]</f>
        <v>18.081632653061224</v>
      </c>
      <c r="AM3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77.368421052631575</v>
      </c>
    </row>
    <row r="39" spans="1:39" x14ac:dyDescent="0.2">
      <c r="A39" t="s">
        <v>83</v>
      </c>
      <c r="B39" t="s">
        <v>47</v>
      </c>
      <c r="C39" t="s">
        <v>38</v>
      </c>
      <c r="D39">
        <v>6.1</v>
      </c>
      <c r="E39">
        <v>49</v>
      </c>
      <c r="F39">
        <v>4.5</v>
      </c>
      <c r="G39">
        <v>22</v>
      </c>
      <c r="H39">
        <v>0</v>
      </c>
      <c r="I39">
        <v>2</v>
      </c>
      <c r="J39">
        <v>896</v>
      </c>
      <c r="K39">
        <v>5</v>
      </c>
      <c r="L39">
        <v>10</v>
      </c>
      <c r="M39">
        <v>0</v>
      </c>
      <c r="N39">
        <v>5</v>
      </c>
      <c r="O39">
        <v>48.6</v>
      </c>
      <c r="P39">
        <v>5.5</v>
      </c>
      <c r="Q39">
        <v>0</v>
      </c>
      <c r="R39">
        <v>0.9</v>
      </c>
      <c r="S39">
        <v>8</v>
      </c>
      <c r="T39">
        <v>0.44</v>
      </c>
      <c r="U39">
        <v>1.39</v>
      </c>
      <c r="V39">
        <v>1.83</v>
      </c>
      <c r="W39">
        <v>12.45</v>
      </c>
      <c r="X39">
        <v>10</v>
      </c>
      <c r="Y39" t="s">
        <v>1000</v>
      </c>
      <c r="Z39">
        <v>83</v>
      </c>
      <c r="AA39">
        <v>2</v>
      </c>
      <c r="AB39">
        <v>28</v>
      </c>
      <c r="AC39">
        <v>11</v>
      </c>
      <c r="AD39">
        <v>51</v>
      </c>
      <c r="AE39">
        <v>24</v>
      </c>
      <c r="AF39">
        <v>18</v>
      </c>
      <c r="AG39">
        <v>7</v>
      </c>
      <c r="AH39">
        <f>fpl_player_statistics_cleaned[[#This Row],[Total Points]] / fpl_player_statistics_cleaned[[#This Row],[Now Cost]]</f>
        <v>8.0327868852459012</v>
      </c>
      <c r="AI39">
        <f>fpl_player_statistics_cleaned[[#This Row],[Goals Scored]] + fpl_player_statistics_cleaned[[#This Row],[Assists]]</f>
        <v>2</v>
      </c>
      <c r="AJ39">
        <f>fpl_player_statistics_cleaned[[#This Row],[Total Points]] / fpl_player_statistics_cleaned[[#This Row],[Starts]]</f>
        <v>4.9000000000000004</v>
      </c>
      <c r="AK39">
        <f>((fpl_player_statistics_cleaned[[#This Row],[Points Per Game]]) * fpl_player_statistics_cleaned[[#This Row],[Form]]) / fpl_player_statistics_cleaned[[#This Row],[Now Cost]]</f>
        <v>4.057377049180328</v>
      </c>
      <c r="AL39">
        <f>fpl_player_statistics_cleaned[[#This Row],[Minutes]] / fpl_player_statistics_cleaned[[#This Row],[Total Points]]</f>
        <v>18.285714285714285</v>
      </c>
      <c r="AM3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198.81147540983608</v>
      </c>
    </row>
    <row r="40" spans="1:39" x14ac:dyDescent="0.2">
      <c r="A40" t="s">
        <v>84</v>
      </c>
      <c r="B40" t="s">
        <v>54</v>
      </c>
      <c r="C40" t="s">
        <v>38</v>
      </c>
      <c r="D40">
        <v>4.5999999999999996</v>
      </c>
      <c r="E40">
        <v>49</v>
      </c>
      <c r="F40">
        <v>5.4</v>
      </c>
      <c r="G40">
        <v>2.6</v>
      </c>
      <c r="H40">
        <v>2</v>
      </c>
      <c r="I40">
        <v>1</v>
      </c>
      <c r="J40">
        <v>579</v>
      </c>
      <c r="K40">
        <v>2</v>
      </c>
      <c r="L40">
        <v>5</v>
      </c>
      <c r="M40">
        <v>0</v>
      </c>
      <c r="N40">
        <v>5</v>
      </c>
      <c r="O40">
        <v>48.4</v>
      </c>
      <c r="P40">
        <v>6.5</v>
      </c>
      <c r="Q40">
        <v>1</v>
      </c>
      <c r="R40">
        <v>1.4</v>
      </c>
      <c r="S40">
        <v>10.7</v>
      </c>
      <c r="T40">
        <v>0.97</v>
      </c>
      <c r="U40">
        <v>0.35</v>
      </c>
      <c r="V40">
        <v>1.32</v>
      </c>
      <c r="W40">
        <v>6.74</v>
      </c>
      <c r="X40">
        <v>6</v>
      </c>
      <c r="Y40" t="s">
        <v>1000</v>
      </c>
      <c r="Z40">
        <v>389</v>
      </c>
      <c r="AA40">
        <v>69</v>
      </c>
      <c r="AB40">
        <v>12</v>
      </c>
      <c r="AC40">
        <v>4</v>
      </c>
      <c r="AD40">
        <v>21</v>
      </c>
      <c r="AE40">
        <v>13</v>
      </c>
      <c r="AF40">
        <v>111</v>
      </c>
      <c r="AG40">
        <v>41</v>
      </c>
      <c r="AH40">
        <f>fpl_player_statistics_cleaned[[#This Row],[Total Points]] / fpl_player_statistics_cleaned[[#This Row],[Now Cost]]</f>
        <v>10.652173913043478</v>
      </c>
      <c r="AI40">
        <f>fpl_player_statistics_cleaned[[#This Row],[Goals Scored]] + fpl_player_statistics_cleaned[[#This Row],[Assists]]</f>
        <v>3</v>
      </c>
      <c r="AJ40">
        <f>fpl_player_statistics_cleaned[[#This Row],[Total Points]] / fpl_player_statistics_cleaned[[#This Row],[Starts]]</f>
        <v>8.1666666666666661</v>
      </c>
      <c r="AK40">
        <f>((fpl_player_statistics_cleaned[[#This Row],[Points Per Game]]) * fpl_player_statistics_cleaned[[#This Row],[Form]]) / fpl_player_statistics_cleaned[[#This Row],[Now Cost]]</f>
        <v>7.6304347826086962</v>
      </c>
      <c r="AL40">
        <f>fpl_player_statistics_cleaned[[#This Row],[Minutes]] / fpl_player_statistics_cleaned[[#This Row],[Total Points]]</f>
        <v>11.816326530612244</v>
      </c>
      <c r="AM4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373.89130434782612</v>
      </c>
    </row>
    <row r="41" spans="1:39" x14ac:dyDescent="0.2">
      <c r="A41" t="s">
        <v>906</v>
      </c>
      <c r="B41" t="s">
        <v>37</v>
      </c>
      <c r="C41" t="s">
        <v>41</v>
      </c>
      <c r="D41">
        <v>5.4</v>
      </c>
      <c r="E41">
        <v>48</v>
      </c>
      <c r="F41">
        <v>4.4000000000000004</v>
      </c>
      <c r="G41">
        <v>2.9</v>
      </c>
      <c r="H41">
        <v>2</v>
      </c>
      <c r="I41">
        <v>1</v>
      </c>
      <c r="J41">
        <v>937</v>
      </c>
      <c r="K41">
        <v>7</v>
      </c>
      <c r="L41">
        <v>5</v>
      </c>
      <c r="M41">
        <v>0</v>
      </c>
      <c r="N41">
        <v>4</v>
      </c>
      <c r="O41">
        <v>45.7</v>
      </c>
      <c r="P41">
        <v>4</v>
      </c>
      <c r="Q41">
        <v>1</v>
      </c>
      <c r="R41">
        <v>0.7</v>
      </c>
      <c r="S41">
        <v>8.9</v>
      </c>
      <c r="T41">
        <v>0.54</v>
      </c>
      <c r="U41">
        <v>1</v>
      </c>
      <c r="V41">
        <v>1.54</v>
      </c>
      <c r="W41">
        <v>5.7</v>
      </c>
      <c r="X41">
        <v>10</v>
      </c>
      <c r="Y41" t="s">
        <v>1000</v>
      </c>
      <c r="Z41">
        <v>178</v>
      </c>
      <c r="AA41">
        <v>110</v>
      </c>
      <c r="AB41">
        <v>80</v>
      </c>
      <c r="AC41">
        <v>40</v>
      </c>
      <c r="AD41">
        <v>57</v>
      </c>
      <c r="AE41">
        <v>23</v>
      </c>
      <c r="AF41">
        <v>103</v>
      </c>
      <c r="AG41">
        <v>35</v>
      </c>
      <c r="AH41">
        <f>fpl_player_statistics_cleaned[[#This Row],[Total Points]] / fpl_player_statistics_cleaned[[#This Row],[Now Cost]]</f>
        <v>8.8888888888888875</v>
      </c>
      <c r="AI41">
        <f>fpl_player_statistics_cleaned[[#This Row],[Goals Scored]] + fpl_player_statistics_cleaned[[#This Row],[Assists]]</f>
        <v>3</v>
      </c>
      <c r="AJ41">
        <f>fpl_player_statistics_cleaned[[#This Row],[Total Points]] / fpl_player_statistics_cleaned[[#This Row],[Starts]]</f>
        <v>4.8</v>
      </c>
      <c r="AK41">
        <f>((fpl_player_statistics_cleaned[[#This Row],[Points Per Game]]) * fpl_player_statistics_cleaned[[#This Row],[Form]]) / fpl_player_statistics_cleaned[[#This Row],[Now Cost]]</f>
        <v>3.2592592592592595</v>
      </c>
      <c r="AL41">
        <f>fpl_player_statistics_cleaned[[#This Row],[Minutes]] / fpl_player_statistics_cleaned[[#This Row],[Total Points]]</f>
        <v>19.520833333333332</v>
      </c>
      <c r="AM4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156.44444444444443</v>
      </c>
    </row>
    <row r="42" spans="1:39" x14ac:dyDescent="0.2">
      <c r="A42" t="s">
        <v>85</v>
      </c>
      <c r="B42" t="s">
        <v>72</v>
      </c>
      <c r="C42" t="s">
        <v>38</v>
      </c>
      <c r="D42">
        <v>5.2</v>
      </c>
      <c r="E42">
        <v>48</v>
      </c>
      <c r="F42">
        <v>4.4000000000000004</v>
      </c>
      <c r="G42">
        <v>10</v>
      </c>
      <c r="H42">
        <v>0</v>
      </c>
      <c r="I42">
        <v>1</v>
      </c>
      <c r="J42">
        <v>972</v>
      </c>
      <c r="K42">
        <v>5</v>
      </c>
      <c r="L42">
        <v>14</v>
      </c>
      <c r="M42">
        <v>0</v>
      </c>
      <c r="N42">
        <v>4</v>
      </c>
      <c r="O42">
        <v>26.9</v>
      </c>
      <c r="P42">
        <v>1.2</v>
      </c>
      <c r="Q42">
        <v>1</v>
      </c>
      <c r="R42">
        <v>0.2</v>
      </c>
      <c r="S42">
        <v>9.1999999999999993</v>
      </c>
      <c r="T42">
        <v>0.05</v>
      </c>
      <c r="U42">
        <v>0.23</v>
      </c>
      <c r="V42">
        <v>0.28000000000000003</v>
      </c>
      <c r="W42">
        <v>9.99</v>
      </c>
      <c r="X42">
        <v>11</v>
      </c>
      <c r="Y42" t="s">
        <v>1000</v>
      </c>
      <c r="Z42">
        <v>211</v>
      </c>
      <c r="AA42">
        <v>30</v>
      </c>
      <c r="AB42">
        <v>253</v>
      </c>
      <c r="AC42">
        <v>86</v>
      </c>
      <c r="AD42">
        <v>56</v>
      </c>
      <c r="AE42">
        <v>25</v>
      </c>
      <c r="AF42">
        <v>38</v>
      </c>
      <c r="AG42">
        <v>13</v>
      </c>
      <c r="AH42">
        <f>fpl_player_statistics_cleaned[[#This Row],[Total Points]] / fpl_player_statistics_cleaned[[#This Row],[Now Cost]]</f>
        <v>9.2307692307692299</v>
      </c>
      <c r="AI42">
        <f>fpl_player_statistics_cleaned[[#This Row],[Goals Scored]] + fpl_player_statistics_cleaned[[#This Row],[Assists]]</f>
        <v>1</v>
      </c>
      <c r="AJ42">
        <f>fpl_player_statistics_cleaned[[#This Row],[Total Points]] / fpl_player_statistics_cleaned[[#This Row],[Starts]]</f>
        <v>4.3636363636363633</v>
      </c>
      <c r="AK42">
        <f>((fpl_player_statistics_cleaned[[#This Row],[Points Per Game]]) * fpl_player_statistics_cleaned[[#This Row],[Form]]) / fpl_player_statistics_cleaned[[#This Row],[Now Cost]]</f>
        <v>1.0153846153846153</v>
      </c>
      <c r="AL42">
        <f>fpl_player_statistics_cleaned[[#This Row],[Minutes]] / fpl_player_statistics_cleaned[[#This Row],[Total Points]]</f>
        <v>20.25</v>
      </c>
      <c r="AM4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48.738461538461536</v>
      </c>
    </row>
    <row r="43" spans="1:39" hidden="1" x14ac:dyDescent="0.2">
      <c r="A43" t="s">
        <v>86</v>
      </c>
      <c r="B43" t="s">
        <v>47</v>
      </c>
      <c r="C43" t="s">
        <v>41</v>
      </c>
      <c r="D43">
        <v>6.7</v>
      </c>
      <c r="E43">
        <v>48</v>
      </c>
      <c r="F43">
        <v>4.8</v>
      </c>
      <c r="G43">
        <v>14.7</v>
      </c>
      <c r="H43">
        <v>3</v>
      </c>
      <c r="I43">
        <v>2</v>
      </c>
      <c r="J43">
        <v>880</v>
      </c>
      <c r="K43">
        <v>4</v>
      </c>
      <c r="L43">
        <v>11</v>
      </c>
      <c r="M43">
        <v>0</v>
      </c>
      <c r="N43">
        <v>3</v>
      </c>
      <c r="O43">
        <v>76.900000000000006</v>
      </c>
      <c r="P43">
        <v>1.8</v>
      </c>
      <c r="Q43">
        <v>1</v>
      </c>
      <c r="R43">
        <v>0.3</v>
      </c>
      <c r="S43">
        <v>7.2</v>
      </c>
      <c r="T43">
        <v>4.5999999999999996</v>
      </c>
      <c r="U43">
        <v>1.63</v>
      </c>
      <c r="V43">
        <v>6.23</v>
      </c>
      <c r="W43">
        <v>11.3</v>
      </c>
      <c r="X43">
        <v>10</v>
      </c>
      <c r="Y43" t="s">
        <v>87</v>
      </c>
      <c r="Z43">
        <v>48</v>
      </c>
      <c r="AA43">
        <v>32</v>
      </c>
      <c r="AB43">
        <v>218</v>
      </c>
      <c r="AC43">
        <v>109</v>
      </c>
      <c r="AD43">
        <v>40</v>
      </c>
      <c r="AE43">
        <v>13</v>
      </c>
      <c r="AF43">
        <v>28</v>
      </c>
      <c r="AG43">
        <v>11</v>
      </c>
      <c r="AI43">
        <v>8.7037037037037024</v>
      </c>
    </row>
    <row r="44" spans="1:39" hidden="1" x14ac:dyDescent="0.2">
      <c r="A44" t="s">
        <v>88</v>
      </c>
      <c r="B44" t="s">
        <v>49</v>
      </c>
      <c r="C44" t="s">
        <v>41</v>
      </c>
      <c r="D44">
        <v>5.5</v>
      </c>
      <c r="E44">
        <v>47</v>
      </c>
      <c r="F44">
        <v>4.7</v>
      </c>
      <c r="G44">
        <v>1</v>
      </c>
      <c r="H44">
        <v>3</v>
      </c>
      <c r="I44">
        <v>2</v>
      </c>
      <c r="J44">
        <v>617</v>
      </c>
      <c r="K44">
        <v>3</v>
      </c>
      <c r="L44">
        <v>6</v>
      </c>
      <c r="M44">
        <v>0</v>
      </c>
      <c r="N44">
        <v>5</v>
      </c>
      <c r="O44">
        <v>40</v>
      </c>
      <c r="P44">
        <v>8</v>
      </c>
      <c r="Q44">
        <v>2</v>
      </c>
      <c r="R44">
        <v>1.5</v>
      </c>
      <c r="S44">
        <v>8.5</v>
      </c>
      <c r="T44">
        <v>1.28</v>
      </c>
      <c r="U44">
        <v>0.39</v>
      </c>
      <c r="V44">
        <v>1.67</v>
      </c>
      <c r="W44">
        <v>7.86</v>
      </c>
      <c r="X44">
        <v>9</v>
      </c>
      <c r="Y44" t="s">
        <v>89</v>
      </c>
      <c r="Z44">
        <v>133</v>
      </c>
      <c r="AA44">
        <v>85</v>
      </c>
      <c r="AB44">
        <v>3</v>
      </c>
      <c r="AC44">
        <v>2</v>
      </c>
      <c r="AD44">
        <v>46</v>
      </c>
      <c r="AE44">
        <v>16</v>
      </c>
      <c r="AF44">
        <v>176</v>
      </c>
      <c r="AG44">
        <v>61</v>
      </c>
      <c r="AI44">
        <v>9.4</v>
      </c>
    </row>
    <row r="45" spans="1:39" x14ac:dyDescent="0.2">
      <c r="A45" t="s">
        <v>90</v>
      </c>
      <c r="B45" t="s">
        <v>40</v>
      </c>
      <c r="C45" t="s">
        <v>41</v>
      </c>
      <c r="D45">
        <v>5.5</v>
      </c>
      <c r="E45">
        <v>47</v>
      </c>
      <c r="F45">
        <v>4.3</v>
      </c>
      <c r="G45">
        <v>1.7</v>
      </c>
      <c r="H45">
        <v>2</v>
      </c>
      <c r="I45">
        <v>1</v>
      </c>
      <c r="J45">
        <v>856</v>
      </c>
      <c r="K45">
        <v>5</v>
      </c>
      <c r="L45">
        <v>14</v>
      </c>
      <c r="M45">
        <v>0</v>
      </c>
      <c r="N45">
        <v>6</v>
      </c>
      <c r="O45">
        <v>55.7</v>
      </c>
      <c r="P45">
        <v>5</v>
      </c>
      <c r="Q45">
        <v>2</v>
      </c>
      <c r="R45">
        <v>0.9</v>
      </c>
      <c r="S45">
        <v>8.5</v>
      </c>
      <c r="T45">
        <v>1.32</v>
      </c>
      <c r="U45">
        <v>1.44</v>
      </c>
      <c r="V45">
        <v>2.76</v>
      </c>
      <c r="W45">
        <v>11.44</v>
      </c>
      <c r="X45">
        <v>10</v>
      </c>
      <c r="Y45" t="s">
        <v>1000</v>
      </c>
      <c r="Z45">
        <v>140</v>
      </c>
      <c r="AA45">
        <v>89</v>
      </c>
      <c r="AB45">
        <v>43</v>
      </c>
      <c r="AC45">
        <v>21</v>
      </c>
      <c r="AD45">
        <v>62</v>
      </c>
      <c r="AE45">
        <v>26</v>
      </c>
      <c r="AF45">
        <v>136</v>
      </c>
      <c r="AG45">
        <v>48</v>
      </c>
      <c r="AH45">
        <f>fpl_player_statistics_cleaned[[#This Row],[Total Points]] / fpl_player_statistics_cleaned[[#This Row],[Now Cost]]</f>
        <v>8.545454545454545</v>
      </c>
      <c r="AI45">
        <f>fpl_player_statistics_cleaned[[#This Row],[Goals Scored]] + fpl_player_statistics_cleaned[[#This Row],[Assists]]</f>
        <v>3</v>
      </c>
      <c r="AJ45">
        <f>fpl_player_statistics_cleaned[[#This Row],[Total Points]] / fpl_player_statistics_cleaned[[#This Row],[Starts]]</f>
        <v>4.7</v>
      </c>
      <c r="AK45">
        <f>((fpl_player_statistics_cleaned[[#This Row],[Points Per Game]]) * fpl_player_statistics_cleaned[[#This Row],[Form]]) / fpl_player_statistics_cleaned[[#This Row],[Now Cost]]</f>
        <v>3.9090909090909092</v>
      </c>
      <c r="AL45">
        <f>fpl_player_statistics_cleaned[[#This Row],[Minutes]] / fpl_player_statistics_cleaned[[#This Row],[Total Points]]</f>
        <v>18.212765957446809</v>
      </c>
      <c r="AM4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183.72727272727272</v>
      </c>
    </row>
    <row r="46" spans="1:39" x14ac:dyDescent="0.2">
      <c r="A46" t="s">
        <v>91</v>
      </c>
      <c r="B46" t="s">
        <v>92</v>
      </c>
      <c r="C46" t="s">
        <v>41</v>
      </c>
      <c r="D46">
        <v>5.4</v>
      </c>
      <c r="E46">
        <v>47</v>
      </c>
      <c r="F46">
        <v>4.7</v>
      </c>
      <c r="G46">
        <v>0.6</v>
      </c>
      <c r="H46">
        <v>2</v>
      </c>
      <c r="I46">
        <v>2</v>
      </c>
      <c r="J46">
        <v>836</v>
      </c>
      <c r="K46">
        <v>2</v>
      </c>
      <c r="L46">
        <v>15</v>
      </c>
      <c r="M46">
        <v>0</v>
      </c>
      <c r="N46">
        <v>5</v>
      </c>
      <c r="O46">
        <v>39</v>
      </c>
      <c r="P46">
        <v>6</v>
      </c>
      <c r="Q46">
        <v>1</v>
      </c>
      <c r="R46">
        <v>1.1000000000000001</v>
      </c>
      <c r="S46">
        <v>8.6999999999999993</v>
      </c>
      <c r="T46">
        <v>0.67</v>
      </c>
      <c r="U46">
        <v>0.73</v>
      </c>
      <c r="V46">
        <v>1.4</v>
      </c>
      <c r="W46">
        <v>13.06</v>
      </c>
      <c r="X46">
        <v>10</v>
      </c>
      <c r="Y46" t="s">
        <v>1000</v>
      </c>
      <c r="Z46">
        <v>163</v>
      </c>
      <c r="AA46">
        <v>101</v>
      </c>
      <c r="AB46">
        <v>21</v>
      </c>
      <c r="AC46">
        <v>8</v>
      </c>
      <c r="AD46">
        <v>45</v>
      </c>
      <c r="AE46">
        <v>15</v>
      </c>
      <c r="AF46">
        <v>213</v>
      </c>
      <c r="AG46">
        <v>73</v>
      </c>
      <c r="AH46">
        <f>fpl_player_statistics_cleaned[[#This Row],[Total Points]] / fpl_player_statistics_cleaned[[#This Row],[Now Cost]]</f>
        <v>8.7037037037037024</v>
      </c>
      <c r="AI46">
        <f>fpl_player_statistics_cleaned[[#This Row],[Goals Scored]] + fpl_player_statistics_cleaned[[#This Row],[Assists]]</f>
        <v>4</v>
      </c>
      <c r="AJ46">
        <f>fpl_player_statistics_cleaned[[#This Row],[Total Points]] / fpl_player_statistics_cleaned[[#This Row],[Starts]]</f>
        <v>4.7</v>
      </c>
      <c r="AK46">
        <f>((fpl_player_statistics_cleaned[[#This Row],[Points Per Game]]) * fpl_player_statistics_cleaned[[#This Row],[Form]]) / fpl_player_statistics_cleaned[[#This Row],[Now Cost]]</f>
        <v>5.2222222222222223</v>
      </c>
      <c r="AL46">
        <f>fpl_player_statistics_cleaned[[#This Row],[Minutes]] / fpl_player_statistics_cleaned[[#This Row],[Total Points]]</f>
        <v>17.787234042553191</v>
      </c>
      <c r="AM4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245.44444444444446</v>
      </c>
    </row>
    <row r="47" spans="1:39" x14ac:dyDescent="0.2">
      <c r="A47" t="s">
        <v>93</v>
      </c>
      <c r="B47" t="s">
        <v>51</v>
      </c>
      <c r="C47" t="s">
        <v>55</v>
      </c>
      <c r="D47">
        <v>5</v>
      </c>
      <c r="E47">
        <v>47</v>
      </c>
      <c r="F47">
        <v>4.3</v>
      </c>
      <c r="G47">
        <v>9.8000000000000007</v>
      </c>
      <c r="H47">
        <v>0</v>
      </c>
      <c r="I47">
        <v>0</v>
      </c>
      <c r="J47">
        <v>990</v>
      </c>
      <c r="K47">
        <v>4</v>
      </c>
      <c r="L47">
        <v>10</v>
      </c>
      <c r="M47">
        <v>34</v>
      </c>
      <c r="N47">
        <v>5</v>
      </c>
      <c r="O47">
        <v>28.7</v>
      </c>
      <c r="P47">
        <v>3</v>
      </c>
      <c r="Q47">
        <v>0</v>
      </c>
      <c r="R47">
        <v>0.6</v>
      </c>
      <c r="S47">
        <v>9.4</v>
      </c>
      <c r="T47">
        <v>0</v>
      </c>
      <c r="U47">
        <v>0.01</v>
      </c>
      <c r="V47">
        <v>0.01</v>
      </c>
      <c r="W47">
        <v>14.99</v>
      </c>
      <c r="X47">
        <v>11</v>
      </c>
      <c r="Y47" t="s">
        <v>1000</v>
      </c>
      <c r="Z47">
        <v>249</v>
      </c>
      <c r="AA47">
        <v>10</v>
      </c>
      <c r="AB47">
        <v>123</v>
      </c>
      <c r="AC47">
        <v>12</v>
      </c>
      <c r="AD47">
        <v>60</v>
      </c>
      <c r="AE47">
        <v>5</v>
      </c>
      <c r="AF47">
        <v>40</v>
      </c>
      <c r="AG47">
        <v>6</v>
      </c>
      <c r="AH47">
        <f>fpl_player_statistics_cleaned[[#This Row],[Total Points]] / fpl_player_statistics_cleaned[[#This Row],[Now Cost]]</f>
        <v>9.4</v>
      </c>
      <c r="AI47">
        <f>fpl_player_statistics_cleaned[[#This Row],[Goals Scored]] + fpl_player_statistics_cleaned[[#This Row],[Assists]]</f>
        <v>0</v>
      </c>
      <c r="AJ47">
        <f>fpl_player_statistics_cleaned[[#This Row],[Total Points]] / fpl_player_statistics_cleaned[[#This Row],[Starts]]</f>
        <v>4.2727272727272725</v>
      </c>
      <c r="AK47">
        <f>((fpl_player_statistics_cleaned[[#This Row],[Points Per Game]]) * fpl_player_statistics_cleaned[[#This Row],[Form]]) / fpl_player_statistics_cleaned[[#This Row],[Now Cost]]</f>
        <v>2.5799999999999996</v>
      </c>
      <c r="AL47">
        <f>fpl_player_statistics_cleaned[[#This Row],[Minutes]] / fpl_player_statistics_cleaned[[#This Row],[Total Points]]</f>
        <v>21.063829787234042</v>
      </c>
      <c r="AM4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121.25999999999999</v>
      </c>
    </row>
    <row r="48" spans="1:39" x14ac:dyDescent="0.2">
      <c r="A48" t="s">
        <v>94</v>
      </c>
      <c r="B48" t="s">
        <v>47</v>
      </c>
      <c r="C48" t="s">
        <v>38</v>
      </c>
      <c r="D48">
        <v>5.6</v>
      </c>
      <c r="E48">
        <v>46</v>
      </c>
      <c r="F48">
        <v>4.2</v>
      </c>
      <c r="G48">
        <v>8.6</v>
      </c>
      <c r="H48">
        <v>1</v>
      </c>
      <c r="I48">
        <v>3</v>
      </c>
      <c r="J48">
        <v>706</v>
      </c>
      <c r="K48">
        <v>3</v>
      </c>
      <c r="L48">
        <v>9</v>
      </c>
      <c r="M48">
        <v>0</v>
      </c>
      <c r="N48">
        <v>4</v>
      </c>
      <c r="O48">
        <v>47.4</v>
      </c>
      <c r="P48">
        <v>6.8</v>
      </c>
      <c r="Q48">
        <v>1</v>
      </c>
      <c r="R48">
        <v>1.2</v>
      </c>
      <c r="S48">
        <v>8.1999999999999993</v>
      </c>
      <c r="T48">
        <v>0.48</v>
      </c>
      <c r="U48">
        <v>1.49</v>
      </c>
      <c r="V48">
        <v>1.97</v>
      </c>
      <c r="W48">
        <v>12.57</v>
      </c>
      <c r="X48">
        <v>7</v>
      </c>
      <c r="Y48" t="s">
        <v>1000</v>
      </c>
      <c r="Z48">
        <v>129</v>
      </c>
      <c r="AA48">
        <v>13</v>
      </c>
      <c r="AB48">
        <v>10</v>
      </c>
      <c r="AC48">
        <v>3</v>
      </c>
      <c r="AD48">
        <v>67</v>
      </c>
      <c r="AE48">
        <v>30</v>
      </c>
      <c r="AF48">
        <v>45</v>
      </c>
      <c r="AG48">
        <v>14</v>
      </c>
      <c r="AH48">
        <f>fpl_player_statistics_cleaned[[#This Row],[Total Points]] / fpl_player_statistics_cleaned[[#This Row],[Now Cost]]</f>
        <v>8.2142857142857153</v>
      </c>
      <c r="AI48">
        <f>fpl_player_statistics_cleaned[[#This Row],[Goals Scored]] + fpl_player_statistics_cleaned[[#This Row],[Assists]]</f>
        <v>4</v>
      </c>
      <c r="AJ48">
        <f>fpl_player_statistics_cleaned[[#This Row],[Total Points]] / fpl_player_statistics_cleaned[[#This Row],[Starts]]</f>
        <v>6.5714285714285712</v>
      </c>
      <c r="AK48">
        <f>((fpl_player_statistics_cleaned[[#This Row],[Points Per Game]]) * fpl_player_statistics_cleaned[[#This Row],[Form]]) / fpl_player_statistics_cleaned[[#This Row],[Now Cost]]</f>
        <v>5.1000000000000005</v>
      </c>
      <c r="AL48">
        <f>fpl_player_statistics_cleaned[[#This Row],[Minutes]] / fpl_player_statistics_cleaned[[#This Row],[Total Points]]</f>
        <v>15.347826086956522</v>
      </c>
      <c r="AM4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234.60000000000002</v>
      </c>
    </row>
    <row r="49" spans="1:39" x14ac:dyDescent="0.2">
      <c r="A49" t="s">
        <v>95</v>
      </c>
      <c r="B49" t="s">
        <v>51</v>
      </c>
      <c r="C49" t="s">
        <v>38</v>
      </c>
      <c r="D49">
        <v>5.5</v>
      </c>
      <c r="E49">
        <v>46</v>
      </c>
      <c r="F49">
        <v>4.2</v>
      </c>
      <c r="G49">
        <v>17.5</v>
      </c>
      <c r="H49">
        <v>0</v>
      </c>
      <c r="I49">
        <v>2</v>
      </c>
      <c r="J49">
        <v>863</v>
      </c>
      <c r="K49">
        <v>4</v>
      </c>
      <c r="L49">
        <v>8</v>
      </c>
      <c r="M49">
        <v>0</v>
      </c>
      <c r="N49">
        <v>2</v>
      </c>
      <c r="O49">
        <v>41.3</v>
      </c>
      <c r="P49">
        <v>4</v>
      </c>
      <c r="Q49">
        <v>1</v>
      </c>
      <c r="R49">
        <v>0.7</v>
      </c>
      <c r="S49">
        <v>8.4</v>
      </c>
      <c r="T49">
        <v>0.11</v>
      </c>
      <c r="U49">
        <v>1.24</v>
      </c>
      <c r="V49">
        <v>1.35</v>
      </c>
      <c r="W49">
        <v>12.19</v>
      </c>
      <c r="X49">
        <v>10</v>
      </c>
      <c r="Y49" t="s">
        <v>1000</v>
      </c>
      <c r="Z49">
        <v>145</v>
      </c>
      <c r="AA49">
        <v>15</v>
      </c>
      <c r="AB49">
        <v>81</v>
      </c>
      <c r="AC49">
        <v>29</v>
      </c>
      <c r="AD49">
        <v>66</v>
      </c>
      <c r="AE49">
        <v>29</v>
      </c>
      <c r="AF49">
        <v>21</v>
      </c>
      <c r="AG49">
        <v>8</v>
      </c>
      <c r="AH49">
        <f>fpl_player_statistics_cleaned[[#This Row],[Total Points]] / fpl_player_statistics_cleaned[[#This Row],[Now Cost]]</f>
        <v>8.3636363636363633</v>
      </c>
      <c r="AI49">
        <f>fpl_player_statistics_cleaned[[#This Row],[Goals Scored]] + fpl_player_statistics_cleaned[[#This Row],[Assists]]</f>
        <v>2</v>
      </c>
      <c r="AJ49">
        <f>fpl_player_statistics_cleaned[[#This Row],[Total Points]] / fpl_player_statistics_cleaned[[#This Row],[Starts]]</f>
        <v>4.5999999999999996</v>
      </c>
      <c r="AK49">
        <f>((fpl_player_statistics_cleaned[[#This Row],[Points Per Game]]) * fpl_player_statistics_cleaned[[#This Row],[Form]]) / fpl_player_statistics_cleaned[[#This Row],[Now Cost]]</f>
        <v>3.0545454545454547</v>
      </c>
      <c r="AL49">
        <f>fpl_player_statistics_cleaned[[#This Row],[Minutes]] / fpl_player_statistics_cleaned[[#This Row],[Total Points]]</f>
        <v>18.760869565217391</v>
      </c>
      <c r="AM4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140.5090909090909</v>
      </c>
    </row>
    <row r="50" spans="1:39" x14ac:dyDescent="0.2">
      <c r="A50" t="s">
        <v>96</v>
      </c>
      <c r="B50" t="s">
        <v>97</v>
      </c>
      <c r="C50" t="s">
        <v>35</v>
      </c>
      <c r="D50">
        <v>7.7</v>
      </c>
      <c r="E50">
        <v>46</v>
      </c>
      <c r="F50">
        <v>4.2</v>
      </c>
      <c r="G50">
        <v>7.6</v>
      </c>
      <c r="H50">
        <v>3</v>
      </c>
      <c r="I50">
        <v>1</v>
      </c>
      <c r="J50">
        <v>990</v>
      </c>
      <c r="K50">
        <v>1</v>
      </c>
      <c r="L50">
        <v>23</v>
      </c>
      <c r="M50">
        <v>0</v>
      </c>
      <c r="N50">
        <v>9</v>
      </c>
      <c r="O50">
        <v>69.599999999999994</v>
      </c>
      <c r="P50">
        <v>2.8</v>
      </c>
      <c r="Q50">
        <v>0</v>
      </c>
      <c r="R50">
        <v>0.4</v>
      </c>
      <c r="S50">
        <v>6</v>
      </c>
      <c r="T50">
        <v>1.41</v>
      </c>
      <c r="U50">
        <v>1.26</v>
      </c>
      <c r="V50">
        <v>2.67</v>
      </c>
      <c r="W50">
        <v>16.63</v>
      </c>
      <c r="X50">
        <v>11</v>
      </c>
      <c r="Y50" t="s">
        <v>1000</v>
      </c>
      <c r="Z50">
        <v>20</v>
      </c>
      <c r="AA50">
        <v>7</v>
      </c>
      <c r="AB50">
        <v>145</v>
      </c>
      <c r="AC50">
        <v>15</v>
      </c>
      <c r="AD50">
        <v>69</v>
      </c>
      <c r="AE50">
        <v>6</v>
      </c>
      <c r="AF50">
        <v>51</v>
      </c>
      <c r="AG50">
        <v>10</v>
      </c>
      <c r="AH50">
        <f>fpl_player_statistics_cleaned[[#This Row],[Total Points]] / fpl_player_statistics_cleaned[[#This Row],[Now Cost]]</f>
        <v>5.9740259740259738</v>
      </c>
      <c r="AI50">
        <f>fpl_player_statistics_cleaned[[#This Row],[Goals Scored]] + fpl_player_statistics_cleaned[[#This Row],[Assists]]</f>
        <v>4</v>
      </c>
      <c r="AJ50">
        <f>fpl_player_statistics_cleaned[[#This Row],[Total Points]] / fpl_player_statistics_cleaned[[#This Row],[Starts]]</f>
        <v>4.1818181818181817</v>
      </c>
      <c r="AK50">
        <f>((fpl_player_statistics_cleaned[[#This Row],[Points Per Game]]) * fpl_player_statistics_cleaned[[#This Row],[Form]]) / fpl_player_statistics_cleaned[[#This Row],[Now Cost]]</f>
        <v>1.5272727272727271</v>
      </c>
      <c r="AL50">
        <f>fpl_player_statistics_cleaned[[#This Row],[Minutes]] / fpl_player_statistics_cleaned[[#This Row],[Total Points]]</f>
        <v>21.521739130434781</v>
      </c>
      <c r="AM5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70.254545454545436</v>
      </c>
    </row>
    <row r="51" spans="1:39" x14ac:dyDescent="0.2">
      <c r="A51" t="s">
        <v>907</v>
      </c>
      <c r="B51" t="s">
        <v>43</v>
      </c>
      <c r="C51" t="s">
        <v>41</v>
      </c>
      <c r="D51">
        <v>6.7</v>
      </c>
      <c r="E51">
        <v>46</v>
      </c>
      <c r="F51">
        <v>5.0999999999999996</v>
      </c>
      <c r="G51">
        <v>12.9</v>
      </c>
      <c r="H51">
        <v>3</v>
      </c>
      <c r="I51">
        <v>1</v>
      </c>
      <c r="J51">
        <v>792</v>
      </c>
      <c r="K51">
        <v>5</v>
      </c>
      <c r="L51">
        <v>6</v>
      </c>
      <c r="M51">
        <v>0</v>
      </c>
      <c r="N51">
        <v>6</v>
      </c>
      <c r="O51">
        <v>46.7</v>
      </c>
      <c r="P51">
        <v>2.5</v>
      </c>
      <c r="Q51">
        <v>1</v>
      </c>
      <c r="R51">
        <v>0.4</v>
      </c>
      <c r="S51">
        <v>6.9</v>
      </c>
      <c r="T51">
        <v>3.72</v>
      </c>
      <c r="U51">
        <v>0.43</v>
      </c>
      <c r="V51">
        <v>4.1500000000000004</v>
      </c>
      <c r="W51">
        <v>10.48</v>
      </c>
      <c r="X51">
        <v>9</v>
      </c>
      <c r="Y51" t="s">
        <v>1000</v>
      </c>
      <c r="Z51">
        <v>46</v>
      </c>
      <c r="AA51">
        <v>30</v>
      </c>
      <c r="AB51">
        <v>162</v>
      </c>
      <c r="AC51">
        <v>71</v>
      </c>
      <c r="AD51">
        <v>29</v>
      </c>
      <c r="AE51">
        <v>7</v>
      </c>
      <c r="AF51">
        <v>33</v>
      </c>
      <c r="AG51">
        <v>14</v>
      </c>
      <c r="AH51">
        <f>fpl_player_statistics_cleaned[[#This Row],[Total Points]] / fpl_player_statistics_cleaned[[#This Row],[Now Cost]]</f>
        <v>6.8656716417910442</v>
      </c>
      <c r="AI51">
        <f>fpl_player_statistics_cleaned[[#This Row],[Goals Scored]] + fpl_player_statistics_cleaned[[#This Row],[Assists]]</f>
        <v>4</v>
      </c>
      <c r="AJ51">
        <f>fpl_player_statistics_cleaned[[#This Row],[Total Points]] / fpl_player_statistics_cleaned[[#This Row],[Starts]]</f>
        <v>5.1111111111111107</v>
      </c>
      <c r="AK51">
        <f>((fpl_player_statistics_cleaned[[#This Row],[Points Per Game]]) * fpl_player_statistics_cleaned[[#This Row],[Form]]) / fpl_player_statistics_cleaned[[#This Row],[Now Cost]]</f>
        <v>1.9029850746268657</v>
      </c>
      <c r="AL51">
        <f>fpl_player_statistics_cleaned[[#This Row],[Minutes]] / fpl_player_statistics_cleaned[[#This Row],[Total Points]]</f>
        <v>17.217391304347824</v>
      </c>
      <c r="AM5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87.537313432835816</v>
      </c>
    </row>
    <row r="52" spans="1:39" x14ac:dyDescent="0.2">
      <c r="A52" t="s">
        <v>98</v>
      </c>
      <c r="B52" t="s">
        <v>63</v>
      </c>
      <c r="C52" t="s">
        <v>41</v>
      </c>
      <c r="D52">
        <v>7.6</v>
      </c>
      <c r="E52">
        <v>46</v>
      </c>
      <c r="F52">
        <v>4.2</v>
      </c>
      <c r="G52">
        <v>13.2</v>
      </c>
      <c r="H52">
        <v>3</v>
      </c>
      <c r="I52">
        <v>2</v>
      </c>
      <c r="J52">
        <v>829</v>
      </c>
      <c r="K52">
        <v>3</v>
      </c>
      <c r="L52">
        <v>14</v>
      </c>
      <c r="M52">
        <v>0</v>
      </c>
      <c r="N52">
        <v>2</v>
      </c>
      <c r="O52">
        <v>76.3</v>
      </c>
      <c r="P52">
        <v>3.2</v>
      </c>
      <c r="Q52">
        <v>0</v>
      </c>
      <c r="R52">
        <v>0.4</v>
      </c>
      <c r="S52">
        <v>6.1</v>
      </c>
      <c r="T52">
        <v>3.13</v>
      </c>
      <c r="U52">
        <v>2.0699999999999998</v>
      </c>
      <c r="V52">
        <v>5.2</v>
      </c>
      <c r="W52">
        <v>10.15</v>
      </c>
      <c r="X52">
        <v>9</v>
      </c>
      <c r="Y52" t="s">
        <v>1000</v>
      </c>
      <c r="Z52">
        <v>22</v>
      </c>
      <c r="AA52">
        <v>15</v>
      </c>
      <c r="AB52">
        <v>120</v>
      </c>
      <c r="AC52">
        <v>56</v>
      </c>
      <c r="AD52">
        <v>68</v>
      </c>
      <c r="AE52">
        <v>28</v>
      </c>
      <c r="AF52">
        <v>32</v>
      </c>
      <c r="AG52">
        <v>13</v>
      </c>
      <c r="AH52">
        <f>fpl_player_statistics_cleaned[[#This Row],[Total Points]] / fpl_player_statistics_cleaned[[#This Row],[Now Cost]]</f>
        <v>6.052631578947369</v>
      </c>
      <c r="AI52">
        <f>fpl_player_statistics_cleaned[[#This Row],[Goals Scored]] + fpl_player_statistics_cleaned[[#This Row],[Assists]]</f>
        <v>5</v>
      </c>
      <c r="AJ52">
        <f>fpl_player_statistics_cleaned[[#This Row],[Total Points]] / fpl_player_statistics_cleaned[[#This Row],[Starts]]</f>
        <v>5.1111111111111107</v>
      </c>
      <c r="AK52">
        <f>((fpl_player_statistics_cleaned[[#This Row],[Points Per Game]]) * fpl_player_statistics_cleaned[[#This Row],[Form]]) / fpl_player_statistics_cleaned[[#This Row],[Now Cost]]</f>
        <v>1.7684210526315791</v>
      </c>
      <c r="AL52">
        <f>fpl_player_statistics_cleaned[[#This Row],[Minutes]] / fpl_player_statistics_cleaned[[#This Row],[Total Points]]</f>
        <v>18.021739130434781</v>
      </c>
      <c r="AM5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81.34736842105265</v>
      </c>
    </row>
    <row r="53" spans="1:39" x14ac:dyDescent="0.2">
      <c r="A53" t="s">
        <v>99</v>
      </c>
      <c r="B53" t="s">
        <v>100</v>
      </c>
      <c r="C53" t="s">
        <v>38</v>
      </c>
      <c r="D53">
        <v>4.0999999999999996</v>
      </c>
      <c r="E53">
        <v>46</v>
      </c>
      <c r="F53">
        <v>4.2</v>
      </c>
      <c r="G53">
        <v>6.4</v>
      </c>
      <c r="H53">
        <v>2</v>
      </c>
      <c r="I53">
        <v>0</v>
      </c>
      <c r="J53">
        <v>990</v>
      </c>
      <c r="K53">
        <v>2</v>
      </c>
      <c r="L53">
        <v>20</v>
      </c>
      <c r="M53">
        <v>0</v>
      </c>
      <c r="N53">
        <v>5</v>
      </c>
      <c r="O53">
        <v>45.5</v>
      </c>
      <c r="P53">
        <v>4</v>
      </c>
      <c r="Q53">
        <v>1</v>
      </c>
      <c r="R53">
        <v>1</v>
      </c>
      <c r="S53">
        <v>11.2</v>
      </c>
      <c r="T53">
        <v>0.68</v>
      </c>
      <c r="U53">
        <v>0.09</v>
      </c>
      <c r="V53">
        <v>0.77</v>
      </c>
      <c r="W53">
        <v>14.59</v>
      </c>
      <c r="X53">
        <v>11</v>
      </c>
      <c r="Y53" t="s">
        <v>1000</v>
      </c>
      <c r="Z53">
        <v>615</v>
      </c>
      <c r="AA53">
        <v>160</v>
      </c>
      <c r="AB53">
        <v>76</v>
      </c>
      <c r="AC53">
        <v>28</v>
      </c>
      <c r="AD53">
        <v>64</v>
      </c>
      <c r="AE53">
        <v>27</v>
      </c>
      <c r="AF53">
        <v>57</v>
      </c>
      <c r="AG53">
        <v>17</v>
      </c>
      <c r="AH53">
        <f>fpl_player_statistics_cleaned[[#This Row],[Total Points]] / fpl_player_statistics_cleaned[[#This Row],[Now Cost]]</f>
        <v>11.219512195121952</v>
      </c>
      <c r="AI53">
        <f>fpl_player_statistics_cleaned[[#This Row],[Goals Scored]] + fpl_player_statistics_cleaned[[#This Row],[Assists]]</f>
        <v>2</v>
      </c>
      <c r="AJ53">
        <f>fpl_player_statistics_cleaned[[#This Row],[Total Points]] / fpl_player_statistics_cleaned[[#This Row],[Starts]]</f>
        <v>4.1818181818181817</v>
      </c>
      <c r="AK53">
        <f>((fpl_player_statistics_cleaned[[#This Row],[Points Per Game]]) * fpl_player_statistics_cleaned[[#This Row],[Form]]) / fpl_player_statistics_cleaned[[#This Row],[Now Cost]]</f>
        <v>4.0975609756097562</v>
      </c>
      <c r="AL53">
        <f>fpl_player_statistics_cleaned[[#This Row],[Minutes]] / fpl_player_statistics_cleaned[[#This Row],[Total Points]]</f>
        <v>21.521739130434781</v>
      </c>
      <c r="AM5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188.48780487804882</v>
      </c>
    </row>
    <row r="54" spans="1:39" x14ac:dyDescent="0.2">
      <c r="A54" t="s">
        <v>101</v>
      </c>
      <c r="B54" t="s">
        <v>40</v>
      </c>
      <c r="C54" t="s">
        <v>38</v>
      </c>
      <c r="D54">
        <v>4.5</v>
      </c>
      <c r="E54">
        <v>45</v>
      </c>
      <c r="F54">
        <v>4.0999999999999996</v>
      </c>
      <c r="G54">
        <v>2.4</v>
      </c>
      <c r="H54">
        <v>0</v>
      </c>
      <c r="I54">
        <v>1</v>
      </c>
      <c r="J54">
        <v>962</v>
      </c>
      <c r="K54">
        <v>4</v>
      </c>
      <c r="L54">
        <v>16</v>
      </c>
      <c r="M54">
        <v>0</v>
      </c>
      <c r="N54">
        <v>6</v>
      </c>
      <c r="O54">
        <v>39.5</v>
      </c>
      <c r="P54">
        <v>3.2</v>
      </c>
      <c r="Q54">
        <v>0</v>
      </c>
      <c r="R54">
        <v>0.7</v>
      </c>
      <c r="S54">
        <v>10</v>
      </c>
      <c r="T54">
        <v>0.16</v>
      </c>
      <c r="U54">
        <v>0.52</v>
      </c>
      <c r="V54">
        <v>0.68</v>
      </c>
      <c r="W54">
        <v>14.2</v>
      </c>
      <c r="X54">
        <v>11</v>
      </c>
      <c r="Y54" t="s">
        <v>1000</v>
      </c>
      <c r="Z54">
        <v>438</v>
      </c>
      <c r="AA54">
        <v>93</v>
      </c>
      <c r="AB54">
        <v>111</v>
      </c>
      <c r="AC54">
        <v>42</v>
      </c>
      <c r="AD54">
        <v>71</v>
      </c>
      <c r="AE54">
        <v>32</v>
      </c>
      <c r="AF54">
        <v>115</v>
      </c>
      <c r="AG54">
        <v>44</v>
      </c>
      <c r="AH54">
        <f>fpl_player_statistics_cleaned[[#This Row],[Total Points]] / fpl_player_statistics_cleaned[[#This Row],[Now Cost]]</f>
        <v>10</v>
      </c>
      <c r="AI54">
        <f>fpl_player_statistics_cleaned[[#This Row],[Goals Scored]] + fpl_player_statistics_cleaned[[#This Row],[Assists]]</f>
        <v>1</v>
      </c>
      <c r="AJ54">
        <f>fpl_player_statistics_cleaned[[#This Row],[Total Points]] / fpl_player_statistics_cleaned[[#This Row],[Starts]]</f>
        <v>4.0909090909090908</v>
      </c>
      <c r="AK54">
        <f>((fpl_player_statistics_cleaned[[#This Row],[Points Per Game]]) * fpl_player_statistics_cleaned[[#This Row],[Form]]) / fpl_player_statistics_cleaned[[#This Row],[Now Cost]]</f>
        <v>2.9155555555555552</v>
      </c>
      <c r="AL54">
        <f>fpl_player_statistics_cleaned[[#This Row],[Minutes]] / fpl_player_statistics_cleaned[[#This Row],[Total Points]]</f>
        <v>21.377777777777776</v>
      </c>
      <c r="AM5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131.19999999999999</v>
      </c>
    </row>
    <row r="55" spans="1:39" hidden="1" x14ac:dyDescent="0.2">
      <c r="A55" t="s">
        <v>102</v>
      </c>
      <c r="B55" t="s">
        <v>51</v>
      </c>
      <c r="C55" t="s">
        <v>41</v>
      </c>
      <c r="D55">
        <v>6.6</v>
      </c>
      <c r="E55">
        <v>45</v>
      </c>
      <c r="F55">
        <v>4.5</v>
      </c>
      <c r="G55">
        <v>22.8</v>
      </c>
      <c r="H55">
        <v>1</v>
      </c>
      <c r="I55">
        <v>5</v>
      </c>
      <c r="J55">
        <v>875</v>
      </c>
      <c r="K55">
        <v>4</v>
      </c>
      <c r="L55">
        <v>8</v>
      </c>
      <c r="M55">
        <v>0</v>
      </c>
      <c r="N55">
        <v>4</v>
      </c>
      <c r="O55">
        <v>66.2</v>
      </c>
      <c r="P55">
        <v>1.5</v>
      </c>
      <c r="Q55">
        <v>2</v>
      </c>
      <c r="R55">
        <v>0.2</v>
      </c>
      <c r="S55">
        <v>6.8</v>
      </c>
      <c r="T55">
        <v>1.48</v>
      </c>
      <c r="U55">
        <v>1.34</v>
      </c>
      <c r="V55">
        <v>2.82</v>
      </c>
      <c r="W55">
        <v>13.89</v>
      </c>
      <c r="X55">
        <v>10</v>
      </c>
      <c r="Y55" t="s">
        <v>103</v>
      </c>
      <c r="Z55">
        <v>55</v>
      </c>
      <c r="AA55">
        <v>38</v>
      </c>
      <c r="AB55">
        <v>234</v>
      </c>
      <c r="AC55">
        <v>114</v>
      </c>
      <c r="AD55">
        <v>52</v>
      </c>
      <c r="AE55">
        <v>21</v>
      </c>
      <c r="AF55">
        <v>16</v>
      </c>
      <c r="AG55">
        <v>5</v>
      </c>
      <c r="AI55">
        <v>8.1818181818181817</v>
      </c>
    </row>
    <row r="56" spans="1:39" hidden="1" x14ac:dyDescent="0.2">
      <c r="A56" t="s">
        <v>104</v>
      </c>
      <c r="B56" t="s">
        <v>54</v>
      </c>
      <c r="C56" t="s">
        <v>38</v>
      </c>
      <c r="D56">
        <v>4.0999999999999996</v>
      </c>
      <c r="E56">
        <v>45</v>
      </c>
      <c r="F56">
        <v>5.6</v>
      </c>
      <c r="G56">
        <v>4.9000000000000004</v>
      </c>
      <c r="H56">
        <v>1</v>
      </c>
      <c r="I56">
        <v>1</v>
      </c>
      <c r="J56">
        <v>667</v>
      </c>
      <c r="K56">
        <v>3</v>
      </c>
      <c r="L56">
        <v>6</v>
      </c>
      <c r="M56">
        <v>0</v>
      </c>
      <c r="N56">
        <v>4</v>
      </c>
      <c r="O56">
        <v>34.4</v>
      </c>
      <c r="P56">
        <v>1.5</v>
      </c>
      <c r="Q56">
        <v>1</v>
      </c>
      <c r="R56">
        <v>0.4</v>
      </c>
      <c r="S56">
        <v>11</v>
      </c>
      <c r="T56">
        <v>0.57999999999999996</v>
      </c>
      <c r="U56">
        <v>0.35</v>
      </c>
      <c r="V56">
        <v>0.93</v>
      </c>
      <c r="W56">
        <v>9.26</v>
      </c>
      <c r="X56">
        <v>7</v>
      </c>
      <c r="Y56" t="s">
        <v>105</v>
      </c>
      <c r="Z56">
        <v>614</v>
      </c>
      <c r="AA56">
        <v>159</v>
      </c>
      <c r="AB56">
        <v>221</v>
      </c>
      <c r="AC56">
        <v>70</v>
      </c>
      <c r="AD56">
        <v>12</v>
      </c>
      <c r="AE56">
        <v>7</v>
      </c>
      <c r="AF56">
        <v>70</v>
      </c>
      <c r="AG56">
        <v>24</v>
      </c>
      <c r="AI56">
        <v>8.4905660377358494</v>
      </c>
    </row>
    <row r="57" spans="1:39" x14ac:dyDescent="0.2">
      <c r="A57" t="s">
        <v>106</v>
      </c>
      <c r="B57" t="s">
        <v>81</v>
      </c>
      <c r="C57" t="s">
        <v>35</v>
      </c>
      <c r="D57">
        <v>6.5</v>
      </c>
      <c r="E57">
        <v>45</v>
      </c>
      <c r="F57">
        <v>4.0999999999999996</v>
      </c>
      <c r="G57">
        <v>9</v>
      </c>
      <c r="H57">
        <v>6</v>
      </c>
      <c r="I57">
        <v>0</v>
      </c>
      <c r="J57">
        <v>709</v>
      </c>
      <c r="K57">
        <v>2</v>
      </c>
      <c r="L57">
        <v>13</v>
      </c>
      <c r="M57">
        <v>0</v>
      </c>
      <c r="N57">
        <v>6</v>
      </c>
      <c r="O57">
        <v>52.7</v>
      </c>
      <c r="P57">
        <v>6.8</v>
      </c>
      <c r="Q57">
        <v>2</v>
      </c>
      <c r="R57">
        <v>1</v>
      </c>
      <c r="S57">
        <v>6.9</v>
      </c>
      <c r="T57">
        <v>4.1500000000000004</v>
      </c>
      <c r="U57">
        <v>0.53</v>
      </c>
      <c r="V57">
        <v>4.68</v>
      </c>
      <c r="W57">
        <v>9.27</v>
      </c>
      <c r="X57">
        <v>8</v>
      </c>
      <c r="Y57" t="s">
        <v>1000</v>
      </c>
      <c r="Z57">
        <v>56</v>
      </c>
      <c r="AA57">
        <v>17</v>
      </c>
      <c r="AB57">
        <v>11</v>
      </c>
      <c r="AC57">
        <v>4</v>
      </c>
      <c r="AD57">
        <v>75</v>
      </c>
      <c r="AE57">
        <v>7</v>
      </c>
      <c r="AF57">
        <v>43</v>
      </c>
      <c r="AG57">
        <v>8</v>
      </c>
      <c r="AH57">
        <f>fpl_player_statistics_cleaned[[#This Row],[Total Points]] / fpl_player_statistics_cleaned[[#This Row],[Now Cost]]</f>
        <v>6.9230769230769234</v>
      </c>
      <c r="AI57">
        <f>fpl_player_statistics_cleaned[[#This Row],[Goals Scored]] + fpl_player_statistics_cleaned[[#This Row],[Assists]]</f>
        <v>6</v>
      </c>
      <c r="AJ57">
        <f>fpl_player_statistics_cleaned[[#This Row],[Total Points]] / fpl_player_statistics_cleaned[[#This Row],[Starts]]</f>
        <v>5.625</v>
      </c>
      <c r="AK57">
        <f>((fpl_player_statistics_cleaned[[#This Row],[Points Per Game]]) * fpl_player_statistics_cleaned[[#This Row],[Form]]) / fpl_player_statistics_cleaned[[#This Row],[Now Cost]]</f>
        <v>4.2892307692307687</v>
      </c>
      <c r="AL57">
        <f>fpl_player_statistics_cleaned[[#This Row],[Minutes]] / fpl_player_statistics_cleaned[[#This Row],[Total Points]]</f>
        <v>15.755555555555556</v>
      </c>
      <c r="AM5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193.01538461538462</v>
      </c>
    </row>
    <row r="58" spans="1:39" x14ac:dyDescent="0.2">
      <c r="A58" t="s">
        <v>107</v>
      </c>
      <c r="B58" t="s">
        <v>37</v>
      </c>
      <c r="C58" t="s">
        <v>41</v>
      </c>
      <c r="D58">
        <v>10.1</v>
      </c>
      <c r="E58">
        <v>45</v>
      </c>
      <c r="F58">
        <v>5</v>
      </c>
      <c r="G58">
        <v>17.2</v>
      </c>
      <c r="H58">
        <v>3</v>
      </c>
      <c r="I58">
        <v>0</v>
      </c>
      <c r="J58">
        <v>681</v>
      </c>
      <c r="K58">
        <v>5</v>
      </c>
      <c r="L58">
        <v>3</v>
      </c>
      <c r="M58">
        <v>0</v>
      </c>
      <c r="N58">
        <v>5</v>
      </c>
      <c r="O58">
        <v>68</v>
      </c>
      <c r="P58">
        <v>6.2</v>
      </c>
      <c r="Q58">
        <v>1</v>
      </c>
      <c r="R58">
        <v>0.6</v>
      </c>
      <c r="S58">
        <v>4.5</v>
      </c>
      <c r="T58">
        <v>2.41</v>
      </c>
      <c r="U58">
        <v>2.2599999999999998</v>
      </c>
      <c r="V58">
        <v>4.67</v>
      </c>
      <c r="W58">
        <v>4.43</v>
      </c>
      <c r="X58">
        <v>8</v>
      </c>
      <c r="Y58" t="s">
        <v>1000</v>
      </c>
      <c r="Z58">
        <v>5</v>
      </c>
      <c r="AA58">
        <v>3</v>
      </c>
      <c r="AB58">
        <v>16</v>
      </c>
      <c r="AC58">
        <v>6</v>
      </c>
      <c r="AD58">
        <v>35</v>
      </c>
      <c r="AE58">
        <v>10</v>
      </c>
      <c r="AF58">
        <v>22</v>
      </c>
      <c r="AG58">
        <v>8</v>
      </c>
      <c r="AH58">
        <f>fpl_player_statistics_cleaned[[#This Row],[Total Points]] / fpl_player_statistics_cleaned[[#This Row],[Now Cost]]</f>
        <v>4.4554455445544559</v>
      </c>
      <c r="AI58">
        <f>fpl_player_statistics_cleaned[[#This Row],[Goals Scored]] + fpl_player_statistics_cleaned[[#This Row],[Assists]]</f>
        <v>3</v>
      </c>
      <c r="AJ58">
        <f>fpl_player_statistics_cleaned[[#This Row],[Total Points]] / fpl_player_statistics_cleaned[[#This Row],[Starts]]</f>
        <v>5.625</v>
      </c>
      <c r="AK58">
        <f>((fpl_player_statistics_cleaned[[#This Row],[Points Per Game]]) * fpl_player_statistics_cleaned[[#This Row],[Form]]) / fpl_player_statistics_cleaned[[#This Row],[Now Cost]]</f>
        <v>3.0693069306930694</v>
      </c>
      <c r="AL58">
        <f>fpl_player_statistics_cleaned[[#This Row],[Minutes]] / fpl_player_statistics_cleaned[[#This Row],[Total Points]]</f>
        <v>15.133333333333333</v>
      </c>
      <c r="AM5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138.11881188118812</v>
      </c>
    </row>
    <row r="59" spans="1:39" x14ac:dyDescent="0.2">
      <c r="A59" t="s">
        <v>108</v>
      </c>
      <c r="B59" t="s">
        <v>43</v>
      </c>
      <c r="C59" t="s">
        <v>55</v>
      </c>
      <c r="D59">
        <v>5</v>
      </c>
      <c r="E59">
        <v>45</v>
      </c>
      <c r="F59">
        <v>4.0999999999999996</v>
      </c>
      <c r="G59">
        <v>7.6</v>
      </c>
      <c r="H59">
        <v>0</v>
      </c>
      <c r="I59">
        <v>0</v>
      </c>
      <c r="J59">
        <v>990</v>
      </c>
      <c r="K59">
        <v>5</v>
      </c>
      <c r="L59">
        <v>9</v>
      </c>
      <c r="M59">
        <v>25</v>
      </c>
      <c r="N59">
        <v>2</v>
      </c>
      <c r="O59">
        <v>22.2</v>
      </c>
      <c r="P59">
        <v>4.5</v>
      </c>
      <c r="Q59">
        <v>0</v>
      </c>
      <c r="R59">
        <v>0.9</v>
      </c>
      <c r="S59">
        <v>9</v>
      </c>
      <c r="T59">
        <v>0</v>
      </c>
      <c r="U59">
        <v>0.06</v>
      </c>
      <c r="V59">
        <v>0.06</v>
      </c>
      <c r="W59">
        <v>12.88</v>
      </c>
      <c r="X59">
        <v>11</v>
      </c>
      <c r="Y59" t="s">
        <v>1000</v>
      </c>
      <c r="Z59">
        <v>246</v>
      </c>
      <c r="AA59">
        <v>9</v>
      </c>
      <c r="AB59">
        <v>62</v>
      </c>
      <c r="AC59">
        <v>4</v>
      </c>
      <c r="AD59">
        <v>72</v>
      </c>
      <c r="AE59">
        <v>6</v>
      </c>
      <c r="AF59">
        <v>52</v>
      </c>
      <c r="AG59">
        <v>10</v>
      </c>
      <c r="AH59">
        <f>fpl_player_statistics_cleaned[[#This Row],[Total Points]] / fpl_player_statistics_cleaned[[#This Row],[Now Cost]]</f>
        <v>9</v>
      </c>
      <c r="AI59">
        <f>fpl_player_statistics_cleaned[[#This Row],[Goals Scored]] + fpl_player_statistics_cleaned[[#This Row],[Assists]]</f>
        <v>0</v>
      </c>
      <c r="AJ59">
        <f>fpl_player_statistics_cleaned[[#This Row],[Total Points]] / fpl_player_statistics_cleaned[[#This Row],[Starts]]</f>
        <v>4.0909090909090908</v>
      </c>
      <c r="AK59">
        <f>((fpl_player_statistics_cleaned[[#This Row],[Points Per Game]]) * fpl_player_statistics_cleaned[[#This Row],[Form]]) / fpl_player_statistics_cleaned[[#This Row],[Now Cost]]</f>
        <v>3.69</v>
      </c>
      <c r="AL59">
        <f>fpl_player_statistics_cleaned[[#This Row],[Minutes]] / fpl_player_statistics_cleaned[[#This Row],[Total Points]]</f>
        <v>22</v>
      </c>
      <c r="AM5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166.04999999999998</v>
      </c>
    </row>
    <row r="60" spans="1:39" x14ac:dyDescent="0.2">
      <c r="A60" t="s">
        <v>908</v>
      </c>
      <c r="B60" t="s">
        <v>34</v>
      </c>
      <c r="C60" t="s">
        <v>38</v>
      </c>
      <c r="D60">
        <v>5.5</v>
      </c>
      <c r="E60">
        <v>45</v>
      </c>
      <c r="F60">
        <v>4.0999999999999996</v>
      </c>
      <c r="G60">
        <v>4.4000000000000004</v>
      </c>
      <c r="H60">
        <v>0</v>
      </c>
      <c r="I60">
        <v>0</v>
      </c>
      <c r="J60">
        <v>905</v>
      </c>
      <c r="K60">
        <v>5</v>
      </c>
      <c r="L60">
        <v>7</v>
      </c>
      <c r="M60">
        <v>0</v>
      </c>
      <c r="N60">
        <v>1</v>
      </c>
      <c r="O60">
        <v>26</v>
      </c>
      <c r="P60">
        <v>4.5</v>
      </c>
      <c r="Q60">
        <v>0</v>
      </c>
      <c r="R60">
        <v>0.8</v>
      </c>
      <c r="S60">
        <v>8.1999999999999993</v>
      </c>
      <c r="T60">
        <v>0.13</v>
      </c>
      <c r="U60">
        <v>0.21</v>
      </c>
      <c r="V60">
        <v>0.34</v>
      </c>
      <c r="W60">
        <v>9.5399999999999991</v>
      </c>
      <c r="X60">
        <v>10</v>
      </c>
      <c r="Y60" t="s">
        <v>1000</v>
      </c>
      <c r="Z60">
        <v>137</v>
      </c>
      <c r="AA60">
        <v>14</v>
      </c>
      <c r="AB60">
        <v>65</v>
      </c>
      <c r="AC60">
        <v>23</v>
      </c>
      <c r="AD60">
        <v>73</v>
      </c>
      <c r="AE60">
        <v>33</v>
      </c>
      <c r="AF60">
        <v>82</v>
      </c>
      <c r="AG60">
        <v>27</v>
      </c>
      <c r="AH60">
        <f>fpl_player_statistics_cleaned[[#This Row],[Total Points]] / fpl_player_statistics_cleaned[[#This Row],[Now Cost]]</f>
        <v>8.1818181818181817</v>
      </c>
      <c r="AI60">
        <f>fpl_player_statistics_cleaned[[#This Row],[Goals Scored]] + fpl_player_statistics_cleaned[[#This Row],[Assists]]</f>
        <v>0</v>
      </c>
      <c r="AJ60">
        <f>fpl_player_statistics_cleaned[[#This Row],[Total Points]] / fpl_player_statistics_cleaned[[#This Row],[Starts]]</f>
        <v>4.5</v>
      </c>
      <c r="AK60">
        <f>((fpl_player_statistics_cleaned[[#This Row],[Points Per Game]]) * fpl_player_statistics_cleaned[[#This Row],[Form]]) / fpl_player_statistics_cleaned[[#This Row],[Now Cost]]</f>
        <v>3.3545454545454545</v>
      </c>
      <c r="AL60">
        <f>fpl_player_statistics_cleaned[[#This Row],[Minutes]] / fpl_player_statistics_cleaned[[#This Row],[Total Points]]</f>
        <v>20.111111111111111</v>
      </c>
      <c r="AM6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150.95454545454544</v>
      </c>
    </row>
    <row r="61" spans="1:39" hidden="1" x14ac:dyDescent="0.2">
      <c r="A61" t="s">
        <v>909</v>
      </c>
      <c r="B61" t="s">
        <v>97</v>
      </c>
      <c r="C61" t="s">
        <v>41</v>
      </c>
      <c r="D61">
        <v>5.9</v>
      </c>
      <c r="E61">
        <v>45</v>
      </c>
      <c r="F61">
        <v>4.0999999999999996</v>
      </c>
      <c r="G61">
        <v>2.7</v>
      </c>
      <c r="H61">
        <v>3</v>
      </c>
      <c r="I61">
        <v>1</v>
      </c>
      <c r="J61">
        <v>959</v>
      </c>
      <c r="K61">
        <v>1</v>
      </c>
      <c r="L61">
        <v>22</v>
      </c>
      <c r="M61">
        <v>0</v>
      </c>
      <c r="N61">
        <v>5</v>
      </c>
      <c r="O61">
        <v>64.8</v>
      </c>
      <c r="P61">
        <v>4</v>
      </c>
      <c r="Q61">
        <v>0</v>
      </c>
      <c r="R61">
        <v>0.7</v>
      </c>
      <c r="S61">
        <v>7.6</v>
      </c>
      <c r="T61">
        <v>1.87</v>
      </c>
      <c r="U61">
        <v>1.25</v>
      </c>
      <c r="V61">
        <v>3.12</v>
      </c>
      <c r="W61">
        <v>15.59</v>
      </c>
      <c r="X61">
        <v>11</v>
      </c>
      <c r="Y61" t="s">
        <v>109</v>
      </c>
      <c r="Z61">
        <v>100</v>
      </c>
      <c r="AA61">
        <v>67</v>
      </c>
      <c r="AB61">
        <v>83</v>
      </c>
      <c r="AC61">
        <v>41</v>
      </c>
      <c r="AD61">
        <v>74</v>
      </c>
      <c r="AE61">
        <v>29</v>
      </c>
      <c r="AF61">
        <v>108</v>
      </c>
      <c r="AG61">
        <v>37</v>
      </c>
      <c r="AI61">
        <v>7.9629629629629628</v>
      </c>
    </row>
    <row r="62" spans="1:39" x14ac:dyDescent="0.2">
      <c r="A62" t="s">
        <v>110</v>
      </c>
      <c r="B62" t="s">
        <v>34</v>
      </c>
      <c r="C62" t="s">
        <v>38</v>
      </c>
      <c r="D62">
        <v>5.3</v>
      </c>
      <c r="E62">
        <v>45</v>
      </c>
      <c r="F62">
        <v>5</v>
      </c>
      <c r="G62">
        <v>0.7</v>
      </c>
      <c r="H62">
        <v>1</v>
      </c>
      <c r="I62">
        <v>2</v>
      </c>
      <c r="J62">
        <v>693</v>
      </c>
      <c r="K62">
        <v>3</v>
      </c>
      <c r="L62">
        <v>5</v>
      </c>
      <c r="M62">
        <v>0</v>
      </c>
      <c r="N62">
        <v>4</v>
      </c>
      <c r="O62">
        <v>29.3</v>
      </c>
      <c r="P62">
        <v>6</v>
      </c>
      <c r="Q62">
        <v>2</v>
      </c>
      <c r="R62">
        <v>1.1000000000000001</v>
      </c>
      <c r="S62">
        <v>8.5</v>
      </c>
      <c r="T62">
        <v>0.23</v>
      </c>
      <c r="U62">
        <v>0.34</v>
      </c>
      <c r="V62">
        <v>0.56999999999999995</v>
      </c>
      <c r="W62">
        <v>6.3</v>
      </c>
      <c r="X62">
        <v>7</v>
      </c>
      <c r="Y62" t="s">
        <v>1000</v>
      </c>
      <c r="Z62">
        <v>203</v>
      </c>
      <c r="AA62">
        <v>27</v>
      </c>
      <c r="AB62">
        <v>20</v>
      </c>
      <c r="AC62">
        <v>8</v>
      </c>
      <c r="AD62">
        <v>31</v>
      </c>
      <c r="AE62">
        <v>20</v>
      </c>
      <c r="AF62">
        <v>198</v>
      </c>
      <c r="AG62">
        <v>76</v>
      </c>
      <c r="AH62">
        <f>fpl_player_statistics_cleaned[[#This Row],[Total Points]] / fpl_player_statistics_cleaned[[#This Row],[Now Cost]]</f>
        <v>8.4905660377358494</v>
      </c>
      <c r="AI62">
        <f>fpl_player_statistics_cleaned[[#This Row],[Goals Scored]] + fpl_player_statistics_cleaned[[#This Row],[Assists]]</f>
        <v>3</v>
      </c>
      <c r="AJ62">
        <f>fpl_player_statistics_cleaned[[#This Row],[Total Points]] / fpl_player_statistics_cleaned[[#This Row],[Starts]]</f>
        <v>6.4285714285714288</v>
      </c>
      <c r="AK62">
        <f>((fpl_player_statistics_cleaned[[#This Row],[Points Per Game]]) * fpl_player_statistics_cleaned[[#This Row],[Form]]) / fpl_player_statistics_cleaned[[#This Row],[Now Cost]]</f>
        <v>5.6603773584905666</v>
      </c>
      <c r="AL62">
        <f>fpl_player_statistics_cleaned[[#This Row],[Minutes]] / fpl_player_statistics_cleaned[[#This Row],[Total Points]]</f>
        <v>15.4</v>
      </c>
      <c r="AM6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254.71698113207549</v>
      </c>
    </row>
    <row r="63" spans="1:39" x14ac:dyDescent="0.2">
      <c r="A63" t="s">
        <v>910</v>
      </c>
      <c r="B63" t="s">
        <v>34</v>
      </c>
      <c r="C63" t="s">
        <v>41</v>
      </c>
      <c r="D63">
        <v>6.4</v>
      </c>
      <c r="E63">
        <v>44</v>
      </c>
      <c r="F63">
        <v>4</v>
      </c>
      <c r="G63">
        <v>4.7</v>
      </c>
      <c r="H63">
        <v>1</v>
      </c>
      <c r="I63">
        <v>4</v>
      </c>
      <c r="J63">
        <v>617</v>
      </c>
      <c r="K63">
        <v>4</v>
      </c>
      <c r="L63">
        <v>3</v>
      </c>
      <c r="M63">
        <v>0</v>
      </c>
      <c r="N63">
        <v>6</v>
      </c>
      <c r="O63">
        <v>71.8</v>
      </c>
      <c r="P63">
        <v>3.8</v>
      </c>
      <c r="Q63">
        <v>1</v>
      </c>
      <c r="R63">
        <v>0.6</v>
      </c>
      <c r="S63">
        <v>6.9</v>
      </c>
      <c r="T63">
        <v>1.07</v>
      </c>
      <c r="U63">
        <v>2.0099999999999998</v>
      </c>
      <c r="V63">
        <v>3.08</v>
      </c>
      <c r="W63">
        <v>5.51</v>
      </c>
      <c r="X63">
        <v>7</v>
      </c>
      <c r="Y63" t="s">
        <v>1000</v>
      </c>
      <c r="Z63">
        <v>64</v>
      </c>
      <c r="AA63">
        <v>42</v>
      </c>
      <c r="AB63">
        <v>97</v>
      </c>
      <c r="AC63">
        <v>46</v>
      </c>
      <c r="AD63">
        <v>81</v>
      </c>
      <c r="AE63">
        <v>34</v>
      </c>
      <c r="AF63">
        <v>77</v>
      </c>
      <c r="AG63">
        <v>24</v>
      </c>
      <c r="AH63">
        <f>fpl_player_statistics_cleaned[[#This Row],[Total Points]] / fpl_player_statistics_cleaned[[#This Row],[Now Cost]]</f>
        <v>6.875</v>
      </c>
      <c r="AI63">
        <f>fpl_player_statistics_cleaned[[#This Row],[Goals Scored]] + fpl_player_statistics_cleaned[[#This Row],[Assists]]</f>
        <v>5</v>
      </c>
      <c r="AJ63">
        <f>fpl_player_statistics_cleaned[[#This Row],[Total Points]] / fpl_player_statistics_cleaned[[#This Row],[Starts]]</f>
        <v>6.2857142857142856</v>
      </c>
      <c r="AK63">
        <f>((fpl_player_statistics_cleaned[[#This Row],[Points Per Game]]) * fpl_player_statistics_cleaned[[#This Row],[Form]]) / fpl_player_statistics_cleaned[[#This Row],[Now Cost]]</f>
        <v>2.3749999999999996</v>
      </c>
      <c r="AL63">
        <f>fpl_player_statistics_cleaned[[#This Row],[Minutes]] / fpl_player_statistics_cleaned[[#This Row],[Total Points]]</f>
        <v>14.022727272727273</v>
      </c>
      <c r="AM6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104.49999999999999</v>
      </c>
    </row>
    <row r="64" spans="1:39" x14ac:dyDescent="0.2">
      <c r="A64" t="s">
        <v>111</v>
      </c>
      <c r="B64" t="s">
        <v>63</v>
      </c>
      <c r="C64" t="s">
        <v>41</v>
      </c>
      <c r="D64">
        <v>6.6</v>
      </c>
      <c r="E64">
        <v>44</v>
      </c>
      <c r="F64">
        <v>4</v>
      </c>
      <c r="G64">
        <v>4.9000000000000004</v>
      </c>
      <c r="H64">
        <v>1</v>
      </c>
      <c r="I64">
        <v>1</v>
      </c>
      <c r="J64">
        <v>990</v>
      </c>
      <c r="K64">
        <v>3</v>
      </c>
      <c r="L64">
        <v>17</v>
      </c>
      <c r="M64">
        <v>0</v>
      </c>
      <c r="N64">
        <v>7</v>
      </c>
      <c r="O64">
        <v>67.099999999999994</v>
      </c>
      <c r="P64">
        <v>4.2</v>
      </c>
      <c r="Q64">
        <v>1</v>
      </c>
      <c r="R64">
        <v>0.6</v>
      </c>
      <c r="S64">
        <v>6.7</v>
      </c>
      <c r="T64">
        <v>1.34</v>
      </c>
      <c r="U64">
        <v>1.1299999999999999</v>
      </c>
      <c r="V64">
        <v>2.4700000000000002</v>
      </c>
      <c r="W64">
        <v>13.97</v>
      </c>
      <c r="X64">
        <v>11</v>
      </c>
      <c r="Y64" t="s">
        <v>1000</v>
      </c>
      <c r="Z64">
        <v>53</v>
      </c>
      <c r="AA64">
        <v>36</v>
      </c>
      <c r="AB64">
        <v>73</v>
      </c>
      <c r="AC64">
        <v>35</v>
      </c>
      <c r="AD64">
        <v>83</v>
      </c>
      <c r="AE64">
        <v>36</v>
      </c>
      <c r="AF64">
        <v>71</v>
      </c>
      <c r="AG64">
        <v>21</v>
      </c>
      <c r="AH64">
        <f>fpl_player_statistics_cleaned[[#This Row],[Total Points]] / fpl_player_statistics_cleaned[[#This Row],[Now Cost]]</f>
        <v>6.666666666666667</v>
      </c>
      <c r="AI64">
        <f>fpl_player_statistics_cleaned[[#This Row],[Goals Scored]] + fpl_player_statistics_cleaned[[#This Row],[Assists]]</f>
        <v>2</v>
      </c>
      <c r="AJ64">
        <f>fpl_player_statistics_cleaned[[#This Row],[Total Points]] / fpl_player_statistics_cleaned[[#This Row],[Starts]]</f>
        <v>4</v>
      </c>
      <c r="AK64">
        <f>((fpl_player_statistics_cleaned[[#This Row],[Points Per Game]]) * fpl_player_statistics_cleaned[[#This Row],[Form]]) / fpl_player_statistics_cleaned[[#This Row],[Now Cost]]</f>
        <v>2.5454545454545459</v>
      </c>
      <c r="AL64">
        <f>fpl_player_statistics_cleaned[[#This Row],[Minutes]] / fpl_player_statistics_cleaned[[#This Row],[Total Points]]</f>
        <v>22.5</v>
      </c>
      <c r="AM6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112.00000000000001</v>
      </c>
    </row>
    <row r="65" spans="1:39" x14ac:dyDescent="0.2">
      <c r="A65" t="s">
        <v>112</v>
      </c>
      <c r="B65" t="s">
        <v>51</v>
      </c>
      <c r="C65" t="s">
        <v>35</v>
      </c>
      <c r="D65">
        <v>6.4</v>
      </c>
      <c r="E65">
        <v>44</v>
      </c>
      <c r="F65">
        <v>4</v>
      </c>
      <c r="G65">
        <v>7.8</v>
      </c>
      <c r="H65">
        <v>4</v>
      </c>
      <c r="I65">
        <v>2</v>
      </c>
      <c r="J65">
        <v>631</v>
      </c>
      <c r="K65">
        <v>2</v>
      </c>
      <c r="L65">
        <v>7</v>
      </c>
      <c r="M65">
        <v>0</v>
      </c>
      <c r="N65">
        <v>7</v>
      </c>
      <c r="O65">
        <v>51</v>
      </c>
      <c r="P65">
        <v>3</v>
      </c>
      <c r="Q65">
        <v>1</v>
      </c>
      <c r="R65">
        <v>0.5</v>
      </c>
      <c r="S65">
        <v>6.9</v>
      </c>
      <c r="T65">
        <v>2.2599999999999998</v>
      </c>
      <c r="U65">
        <v>0.62</v>
      </c>
      <c r="V65">
        <v>2.88</v>
      </c>
      <c r="W65">
        <v>9.2799999999999994</v>
      </c>
      <c r="X65">
        <v>6</v>
      </c>
      <c r="Y65" t="s">
        <v>1000</v>
      </c>
      <c r="Z65">
        <v>62</v>
      </c>
      <c r="AA65">
        <v>21</v>
      </c>
      <c r="AB65">
        <v>134</v>
      </c>
      <c r="AC65">
        <v>12</v>
      </c>
      <c r="AD65">
        <v>80</v>
      </c>
      <c r="AE65">
        <v>8</v>
      </c>
      <c r="AF65">
        <v>49</v>
      </c>
      <c r="AG65">
        <v>9</v>
      </c>
      <c r="AH65">
        <f>fpl_player_statistics_cleaned[[#This Row],[Total Points]] / fpl_player_statistics_cleaned[[#This Row],[Now Cost]]</f>
        <v>6.875</v>
      </c>
      <c r="AI65">
        <f>fpl_player_statistics_cleaned[[#This Row],[Goals Scored]] + fpl_player_statistics_cleaned[[#This Row],[Assists]]</f>
        <v>6</v>
      </c>
      <c r="AJ65">
        <f>fpl_player_statistics_cleaned[[#This Row],[Total Points]] / fpl_player_statistics_cleaned[[#This Row],[Starts]]</f>
        <v>7.333333333333333</v>
      </c>
      <c r="AK65">
        <f>((fpl_player_statistics_cleaned[[#This Row],[Points Per Game]]) * fpl_player_statistics_cleaned[[#This Row],[Form]]) / fpl_player_statistics_cleaned[[#This Row],[Now Cost]]</f>
        <v>1.875</v>
      </c>
      <c r="AL65">
        <f>fpl_player_statistics_cleaned[[#This Row],[Minutes]] / fpl_player_statistics_cleaned[[#This Row],[Total Points]]</f>
        <v>14.340909090909092</v>
      </c>
      <c r="AM6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82.5</v>
      </c>
    </row>
    <row r="66" spans="1:39" x14ac:dyDescent="0.2">
      <c r="A66" t="s">
        <v>113</v>
      </c>
      <c r="B66" t="s">
        <v>57</v>
      </c>
      <c r="C66" t="s">
        <v>41</v>
      </c>
      <c r="D66">
        <v>6.8</v>
      </c>
      <c r="E66">
        <v>43</v>
      </c>
      <c r="F66">
        <v>4.3</v>
      </c>
      <c r="G66">
        <v>16.600000000000001</v>
      </c>
      <c r="H66">
        <v>1</v>
      </c>
      <c r="I66">
        <v>4</v>
      </c>
      <c r="J66">
        <v>826</v>
      </c>
      <c r="K66">
        <v>3</v>
      </c>
      <c r="L66">
        <v>11</v>
      </c>
      <c r="M66">
        <v>0</v>
      </c>
      <c r="N66">
        <v>7</v>
      </c>
      <c r="O66">
        <v>80.7</v>
      </c>
      <c r="P66">
        <v>1.5</v>
      </c>
      <c r="Q66">
        <v>2</v>
      </c>
      <c r="R66">
        <v>0.2</v>
      </c>
      <c r="S66">
        <v>6.3</v>
      </c>
      <c r="T66">
        <v>1.07</v>
      </c>
      <c r="U66">
        <v>2.2999999999999998</v>
      </c>
      <c r="V66">
        <v>3.37</v>
      </c>
      <c r="W66">
        <v>12.39</v>
      </c>
      <c r="X66">
        <v>9</v>
      </c>
      <c r="Y66" t="s">
        <v>1000</v>
      </c>
      <c r="Z66">
        <v>41</v>
      </c>
      <c r="AA66">
        <v>25</v>
      </c>
      <c r="AB66">
        <v>236</v>
      </c>
      <c r="AC66">
        <v>116</v>
      </c>
      <c r="AD66">
        <v>63</v>
      </c>
      <c r="AE66">
        <v>27</v>
      </c>
      <c r="AF66">
        <v>23</v>
      </c>
      <c r="AG66">
        <v>9</v>
      </c>
      <c r="AH66">
        <f>fpl_player_statistics_cleaned[[#This Row],[Total Points]] / fpl_player_statistics_cleaned[[#This Row],[Now Cost]]</f>
        <v>6.3235294117647056</v>
      </c>
      <c r="AI66">
        <f>fpl_player_statistics_cleaned[[#This Row],[Goals Scored]] + fpl_player_statistics_cleaned[[#This Row],[Assists]]</f>
        <v>5</v>
      </c>
      <c r="AJ66">
        <f>fpl_player_statistics_cleaned[[#This Row],[Total Points]] / fpl_player_statistics_cleaned[[#This Row],[Starts]]</f>
        <v>4.7777777777777777</v>
      </c>
      <c r="AK66">
        <f>((fpl_player_statistics_cleaned[[#This Row],[Points Per Game]]) * fpl_player_statistics_cleaned[[#This Row],[Form]]) / fpl_player_statistics_cleaned[[#This Row],[Now Cost]]</f>
        <v>0.94852941176470584</v>
      </c>
      <c r="AL66">
        <f>fpl_player_statistics_cleaned[[#This Row],[Minutes]] / fpl_player_statistics_cleaned[[#This Row],[Total Points]]</f>
        <v>19.209302325581394</v>
      </c>
      <c r="AM6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40.786764705882355</v>
      </c>
    </row>
    <row r="67" spans="1:39" x14ac:dyDescent="0.2">
      <c r="A67" t="s">
        <v>114</v>
      </c>
      <c r="B67" t="s">
        <v>57</v>
      </c>
      <c r="C67" t="s">
        <v>38</v>
      </c>
      <c r="D67">
        <v>5.4</v>
      </c>
      <c r="E67">
        <v>43</v>
      </c>
      <c r="F67">
        <v>3.9</v>
      </c>
      <c r="G67">
        <v>6</v>
      </c>
      <c r="H67">
        <v>0</v>
      </c>
      <c r="I67">
        <v>0</v>
      </c>
      <c r="J67">
        <v>990</v>
      </c>
      <c r="K67">
        <v>3</v>
      </c>
      <c r="L67">
        <v>13</v>
      </c>
      <c r="M67">
        <v>0</v>
      </c>
      <c r="N67">
        <v>1</v>
      </c>
      <c r="O67">
        <v>40.6</v>
      </c>
      <c r="P67">
        <v>2.8</v>
      </c>
      <c r="Q67">
        <v>0</v>
      </c>
      <c r="R67">
        <v>0.5</v>
      </c>
      <c r="S67">
        <v>8</v>
      </c>
      <c r="T67">
        <v>0.36</v>
      </c>
      <c r="U67">
        <v>0.52</v>
      </c>
      <c r="V67">
        <v>0.88</v>
      </c>
      <c r="W67">
        <v>15.83</v>
      </c>
      <c r="X67">
        <v>11</v>
      </c>
      <c r="Y67" t="s">
        <v>1000</v>
      </c>
      <c r="Z67">
        <v>154</v>
      </c>
      <c r="AA67">
        <v>16</v>
      </c>
      <c r="AB67">
        <v>143</v>
      </c>
      <c r="AC67">
        <v>53</v>
      </c>
      <c r="AD67">
        <v>85</v>
      </c>
      <c r="AE67">
        <v>35</v>
      </c>
      <c r="AF67">
        <v>59</v>
      </c>
      <c r="AG67">
        <v>18</v>
      </c>
      <c r="AH67">
        <f>fpl_player_statistics_cleaned[[#This Row],[Total Points]] / fpl_player_statistics_cleaned[[#This Row],[Now Cost]]</f>
        <v>7.9629629629629628</v>
      </c>
      <c r="AI67">
        <f>fpl_player_statistics_cleaned[[#This Row],[Goals Scored]] + fpl_player_statistics_cleaned[[#This Row],[Assists]]</f>
        <v>0</v>
      </c>
      <c r="AJ67">
        <f>fpl_player_statistics_cleaned[[#This Row],[Total Points]] / fpl_player_statistics_cleaned[[#This Row],[Starts]]</f>
        <v>3.9090909090909092</v>
      </c>
      <c r="AK67">
        <f>((fpl_player_statistics_cleaned[[#This Row],[Points Per Game]]) * fpl_player_statistics_cleaned[[#This Row],[Form]]) / fpl_player_statistics_cleaned[[#This Row],[Now Cost]]</f>
        <v>2.0222222222222221</v>
      </c>
      <c r="AL67">
        <f>fpl_player_statistics_cleaned[[#This Row],[Minutes]] / fpl_player_statistics_cleaned[[#This Row],[Total Points]]</f>
        <v>23.023255813953487</v>
      </c>
      <c r="AM6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86.955555555555549</v>
      </c>
    </row>
    <row r="68" spans="1:39" x14ac:dyDescent="0.2">
      <c r="A68" t="s">
        <v>115</v>
      </c>
      <c r="B68" t="s">
        <v>70</v>
      </c>
      <c r="C68" t="s">
        <v>38</v>
      </c>
      <c r="D68">
        <v>4.5</v>
      </c>
      <c r="E68">
        <v>42</v>
      </c>
      <c r="F68">
        <v>3.8</v>
      </c>
      <c r="G68">
        <v>1.6</v>
      </c>
      <c r="H68">
        <v>0</v>
      </c>
      <c r="I68">
        <v>3</v>
      </c>
      <c r="J68">
        <v>817</v>
      </c>
      <c r="K68">
        <v>4</v>
      </c>
      <c r="L68">
        <v>6</v>
      </c>
      <c r="M68">
        <v>0</v>
      </c>
      <c r="N68">
        <v>0</v>
      </c>
      <c r="O68">
        <v>39.9</v>
      </c>
      <c r="P68">
        <v>5.2</v>
      </c>
      <c r="Q68">
        <v>0</v>
      </c>
      <c r="R68">
        <v>1.2</v>
      </c>
      <c r="S68">
        <v>9.3000000000000007</v>
      </c>
      <c r="T68">
        <v>0.27</v>
      </c>
      <c r="U68">
        <v>1.33</v>
      </c>
      <c r="V68">
        <v>1.6</v>
      </c>
      <c r="W68">
        <v>10.97</v>
      </c>
      <c r="X68">
        <v>10</v>
      </c>
      <c r="Y68" t="s">
        <v>1000</v>
      </c>
      <c r="Z68">
        <v>394</v>
      </c>
      <c r="AA68">
        <v>71</v>
      </c>
      <c r="AB68">
        <v>32</v>
      </c>
      <c r="AC68">
        <v>12</v>
      </c>
      <c r="AD68">
        <v>91</v>
      </c>
      <c r="AE68">
        <v>37</v>
      </c>
      <c r="AF68">
        <v>142</v>
      </c>
      <c r="AG68">
        <v>55</v>
      </c>
      <c r="AH68">
        <f>fpl_player_statistics_cleaned[[#This Row],[Total Points]] / fpl_player_statistics_cleaned[[#This Row],[Now Cost]]</f>
        <v>9.3333333333333339</v>
      </c>
      <c r="AI68">
        <f>fpl_player_statistics_cleaned[[#This Row],[Goals Scored]] + fpl_player_statistics_cleaned[[#This Row],[Assists]]</f>
        <v>3</v>
      </c>
      <c r="AJ68">
        <f>fpl_player_statistics_cleaned[[#This Row],[Total Points]] / fpl_player_statistics_cleaned[[#This Row],[Starts]]</f>
        <v>4.2</v>
      </c>
      <c r="AK68">
        <f>((fpl_player_statistics_cleaned[[#This Row],[Points Per Game]]) * fpl_player_statistics_cleaned[[#This Row],[Form]]) / fpl_player_statistics_cleaned[[#This Row],[Now Cost]]</f>
        <v>4.391111111111111</v>
      </c>
      <c r="AL68">
        <f>fpl_player_statistics_cleaned[[#This Row],[Minutes]] / fpl_player_statistics_cleaned[[#This Row],[Total Points]]</f>
        <v>19.452380952380953</v>
      </c>
      <c r="AM6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184.42666666666665</v>
      </c>
    </row>
    <row r="69" spans="1:39" x14ac:dyDescent="0.2">
      <c r="A69" t="s">
        <v>116</v>
      </c>
      <c r="B69" t="s">
        <v>57</v>
      </c>
      <c r="C69" t="s">
        <v>55</v>
      </c>
      <c r="D69">
        <v>5.5</v>
      </c>
      <c r="E69">
        <v>42</v>
      </c>
      <c r="F69">
        <v>3.8</v>
      </c>
      <c r="G69">
        <v>9.6</v>
      </c>
      <c r="H69">
        <v>0</v>
      </c>
      <c r="I69">
        <v>0</v>
      </c>
      <c r="J69">
        <v>990</v>
      </c>
      <c r="K69">
        <v>3</v>
      </c>
      <c r="L69">
        <v>13</v>
      </c>
      <c r="M69">
        <v>29</v>
      </c>
      <c r="N69">
        <v>3</v>
      </c>
      <c r="O69">
        <v>28.2</v>
      </c>
      <c r="P69">
        <v>3</v>
      </c>
      <c r="Q69">
        <v>1</v>
      </c>
      <c r="R69">
        <v>0.5</v>
      </c>
      <c r="S69">
        <v>7.6</v>
      </c>
      <c r="T69">
        <v>0</v>
      </c>
      <c r="U69">
        <v>7.0000000000000007E-2</v>
      </c>
      <c r="V69">
        <v>7.0000000000000007E-2</v>
      </c>
      <c r="W69">
        <v>15.83</v>
      </c>
      <c r="X69">
        <v>11</v>
      </c>
      <c r="Y69" t="s">
        <v>1000</v>
      </c>
      <c r="Z69">
        <v>135</v>
      </c>
      <c r="AA69">
        <v>3</v>
      </c>
      <c r="AB69">
        <v>130</v>
      </c>
      <c r="AC69">
        <v>13</v>
      </c>
      <c r="AD69">
        <v>97</v>
      </c>
      <c r="AE69">
        <v>9</v>
      </c>
      <c r="AF69">
        <v>41</v>
      </c>
      <c r="AG69">
        <v>7</v>
      </c>
      <c r="AH69">
        <f>fpl_player_statistics_cleaned[[#This Row],[Total Points]] / fpl_player_statistics_cleaned[[#This Row],[Now Cost]]</f>
        <v>7.6363636363636367</v>
      </c>
      <c r="AI69">
        <f>fpl_player_statistics_cleaned[[#This Row],[Goals Scored]] + fpl_player_statistics_cleaned[[#This Row],[Assists]]</f>
        <v>0</v>
      </c>
      <c r="AJ69">
        <f>fpl_player_statistics_cleaned[[#This Row],[Total Points]] / fpl_player_statistics_cleaned[[#This Row],[Starts]]</f>
        <v>3.8181818181818183</v>
      </c>
      <c r="AK69">
        <f>((fpl_player_statistics_cleaned[[#This Row],[Points Per Game]]) * fpl_player_statistics_cleaned[[#This Row],[Form]]) / fpl_player_statistics_cleaned[[#This Row],[Now Cost]]</f>
        <v>2.0727272727272723</v>
      </c>
      <c r="AL69">
        <f>fpl_player_statistics_cleaned[[#This Row],[Minutes]] / fpl_player_statistics_cleaned[[#This Row],[Total Points]]</f>
        <v>23.571428571428573</v>
      </c>
      <c r="AM6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87.054545454545448</v>
      </c>
    </row>
    <row r="70" spans="1:39" x14ac:dyDescent="0.2">
      <c r="A70" t="s">
        <v>117</v>
      </c>
      <c r="B70" t="s">
        <v>57</v>
      </c>
      <c r="C70" t="s">
        <v>41</v>
      </c>
      <c r="D70">
        <v>5</v>
      </c>
      <c r="E70">
        <v>42</v>
      </c>
      <c r="F70">
        <v>3.8</v>
      </c>
      <c r="G70">
        <v>0.8</v>
      </c>
      <c r="H70">
        <v>1</v>
      </c>
      <c r="I70">
        <v>1</v>
      </c>
      <c r="J70">
        <v>990</v>
      </c>
      <c r="K70">
        <v>3</v>
      </c>
      <c r="L70">
        <v>13</v>
      </c>
      <c r="M70">
        <v>0</v>
      </c>
      <c r="N70">
        <v>5</v>
      </c>
      <c r="O70">
        <v>53.1</v>
      </c>
      <c r="P70">
        <v>2.2000000000000002</v>
      </c>
      <c r="Q70">
        <v>0</v>
      </c>
      <c r="R70">
        <v>0.4</v>
      </c>
      <c r="S70">
        <v>8.4</v>
      </c>
      <c r="T70">
        <v>0.99</v>
      </c>
      <c r="U70">
        <v>1.38</v>
      </c>
      <c r="V70">
        <v>2.37</v>
      </c>
      <c r="W70">
        <v>15.83</v>
      </c>
      <c r="X70">
        <v>11</v>
      </c>
      <c r="Y70" t="s">
        <v>1000</v>
      </c>
      <c r="Z70">
        <v>261</v>
      </c>
      <c r="AA70">
        <v>162</v>
      </c>
      <c r="AB70">
        <v>173</v>
      </c>
      <c r="AC70">
        <v>80</v>
      </c>
      <c r="AD70">
        <v>95</v>
      </c>
      <c r="AE70">
        <v>38</v>
      </c>
      <c r="AF70">
        <v>191</v>
      </c>
      <c r="AG70">
        <v>65</v>
      </c>
      <c r="AH70">
        <f>fpl_player_statistics_cleaned[[#This Row],[Total Points]] / fpl_player_statistics_cleaned[[#This Row],[Now Cost]]</f>
        <v>8.4</v>
      </c>
      <c r="AI70">
        <f>fpl_player_statistics_cleaned[[#This Row],[Goals Scored]] + fpl_player_statistics_cleaned[[#This Row],[Assists]]</f>
        <v>2</v>
      </c>
      <c r="AJ70">
        <f>fpl_player_statistics_cleaned[[#This Row],[Total Points]] / fpl_player_statistics_cleaned[[#This Row],[Starts]]</f>
        <v>3.8181818181818183</v>
      </c>
      <c r="AK70">
        <f>((fpl_player_statistics_cleaned[[#This Row],[Points Per Game]]) * fpl_player_statistics_cleaned[[#This Row],[Form]]) / fpl_player_statistics_cleaned[[#This Row],[Now Cost]]</f>
        <v>1.6719999999999999</v>
      </c>
      <c r="AL70">
        <f>fpl_player_statistics_cleaned[[#This Row],[Minutes]] / fpl_player_statistics_cleaned[[#This Row],[Total Points]]</f>
        <v>23.571428571428573</v>
      </c>
      <c r="AM7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70.224000000000004</v>
      </c>
    </row>
    <row r="71" spans="1:39" x14ac:dyDescent="0.2">
      <c r="A71" t="s">
        <v>118</v>
      </c>
      <c r="B71" t="s">
        <v>57</v>
      </c>
      <c r="C71" t="s">
        <v>41</v>
      </c>
      <c r="D71">
        <v>5.4</v>
      </c>
      <c r="E71">
        <v>42</v>
      </c>
      <c r="F71">
        <v>3.8</v>
      </c>
      <c r="G71">
        <v>0.1</v>
      </c>
      <c r="H71">
        <v>2</v>
      </c>
      <c r="I71">
        <v>0</v>
      </c>
      <c r="J71">
        <v>949</v>
      </c>
      <c r="K71">
        <v>3</v>
      </c>
      <c r="L71">
        <v>11</v>
      </c>
      <c r="M71">
        <v>0</v>
      </c>
      <c r="N71">
        <v>3</v>
      </c>
      <c r="O71">
        <v>39.200000000000003</v>
      </c>
      <c r="P71">
        <v>4.5</v>
      </c>
      <c r="Q71">
        <v>0</v>
      </c>
      <c r="R71">
        <v>0.8</v>
      </c>
      <c r="S71">
        <v>7.8</v>
      </c>
      <c r="T71">
        <v>1.07</v>
      </c>
      <c r="U71">
        <v>0.6</v>
      </c>
      <c r="V71">
        <v>1.67</v>
      </c>
      <c r="W71">
        <v>13.86</v>
      </c>
      <c r="X71">
        <v>11</v>
      </c>
      <c r="Y71" t="s">
        <v>1000</v>
      </c>
      <c r="Z71">
        <v>155</v>
      </c>
      <c r="AA71">
        <v>97</v>
      </c>
      <c r="AB71">
        <v>64</v>
      </c>
      <c r="AC71">
        <v>31</v>
      </c>
      <c r="AD71">
        <v>96</v>
      </c>
      <c r="AE71">
        <v>39</v>
      </c>
      <c r="AF71">
        <v>420</v>
      </c>
      <c r="AG71">
        <v>142</v>
      </c>
      <c r="AH71">
        <f>fpl_player_statistics_cleaned[[#This Row],[Total Points]] / fpl_player_statistics_cleaned[[#This Row],[Now Cost]]</f>
        <v>7.7777777777777777</v>
      </c>
      <c r="AI71">
        <f>fpl_player_statistics_cleaned[[#This Row],[Goals Scored]] + fpl_player_statistics_cleaned[[#This Row],[Assists]]</f>
        <v>2</v>
      </c>
      <c r="AJ71">
        <f>fpl_player_statistics_cleaned[[#This Row],[Total Points]] / fpl_player_statistics_cleaned[[#This Row],[Starts]]</f>
        <v>3.8181818181818183</v>
      </c>
      <c r="AK71">
        <f>((fpl_player_statistics_cleaned[[#This Row],[Points Per Game]]) * fpl_player_statistics_cleaned[[#This Row],[Form]]) / fpl_player_statistics_cleaned[[#This Row],[Now Cost]]</f>
        <v>3.1666666666666661</v>
      </c>
      <c r="AL71">
        <f>fpl_player_statistics_cleaned[[#This Row],[Minutes]] / fpl_player_statistics_cleaned[[#This Row],[Total Points]]</f>
        <v>22.595238095238095</v>
      </c>
      <c r="AM7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133</v>
      </c>
    </row>
    <row r="72" spans="1:39" x14ac:dyDescent="0.2">
      <c r="A72" t="s">
        <v>119</v>
      </c>
      <c r="B72" t="s">
        <v>63</v>
      </c>
      <c r="C72" t="s">
        <v>38</v>
      </c>
      <c r="D72">
        <v>5.9</v>
      </c>
      <c r="E72">
        <v>41</v>
      </c>
      <c r="F72">
        <v>3.7</v>
      </c>
      <c r="G72">
        <v>23</v>
      </c>
      <c r="H72">
        <v>0</v>
      </c>
      <c r="I72">
        <v>0</v>
      </c>
      <c r="J72">
        <v>990</v>
      </c>
      <c r="K72">
        <v>3</v>
      </c>
      <c r="L72">
        <v>17</v>
      </c>
      <c r="M72">
        <v>0</v>
      </c>
      <c r="N72">
        <v>4</v>
      </c>
      <c r="O72">
        <v>42.4</v>
      </c>
      <c r="P72">
        <v>3</v>
      </c>
      <c r="Q72">
        <v>0</v>
      </c>
      <c r="R72">
        <v>0.5</v>
      </c>
      <c r="S72">
        <v>6.9</v>
      </c>
      <c r="T72">
        <v>0.41</v>
      </c>
      <c r="U72">
        <v>0.2</v>
      </c>
      <c r="V72">
        <v>0.61</v>
      </c>
      <c r="W72">
        <v>13.97</v>
      </c>
      <c r="X72">
        <v>11</v>
      </c>
      <c r="Y72" t="s">
        <v>1000</v>
      </c>
      <c r="Z72">
        <v>93</v>
      </c>
      <c r="AA72">
        <v>5</v>
      </c>
      <c r="AB72">
        <v>131</v>
      </c>
      <c r="AC72">
        <v>48</v>
      </c>
      <c r="AD72">
        <v>105</v>
      </c>
      <c r="AE72">
        <v>41</v>
      </c>
      <c r="AF72">
        <v>14</v>
      </c>
      <c r="AG72">
        <v>6</v>
      </c>
      <c r="AH72">
        <f>fpl_player_statistics_cleaned[[#This Row],[Total Points]] / fpl_player_statistics_cleaned[[#This Row],[Now Cost]]</f>
        <v>6.9491525423728806</v>
      </c>
      <c r="AI72">
        <f>fpl_player_statistics_cleaned[[#This Row],[Goals Scored]] + fpl_player_statistics_cleaned[[#This Row],[Assists]]</f>
        <v>0</v>
      </c>
      <c r="AJ72">
        <f>fpl_player_statistics_cleaned[[#This Row],[Total Points]] / fpl_player_statistics_cleaned[[#This Row],[Starts]]</f>
        <v>3.7272727272727271</v>
      </c>
      <c r="AK72">
        <f>((fpl_player_statistics_cleaned[[#This Row],[Points Per Game]]) * fpl_player_statistics_cleaned[[#This Row],[Form]]) / fpl_player_statistics_cleaned[[#This Row],[Now Cost]]</f>
        <v>1.8813559322033899</v>
      </c>
      <c r="AL72">
        <f>fpl_player_statistics_cleaned[[#This Row],[Minutes]] / fpl_player_statistics_cleaned[[#This Row],[Total Points]]</f>
        <v>24.146341463414632</v>
      </c>
      <c r="AM7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77.13559322033899</v>
      </c>
    </row>
    <row r="73" spans="1:39" x14ac:dyDescent="0.2">
      <c r="A73" t="s">
        <v>120</v>
      </c>
      <c r="B73" t="s">
        <v>54</v>
      </c>
      <c r="C73" t="s">
        <v>38</v>
      </c>
      <c r="D73">
        <v>4.5</v>
      </c>
      <c r="E73">
        <v>41</v>
      </c>
      <c r="F73">
        <v>3.7</v>
      </c>
      <c r="G73">
        <v>0.4</v>
      </c>
      <c r="H73">
        <v>0</v>
      </c>
      <c r="I73">
        <v>1</v>
      </c>
      <c r="J73">
        <v>978</v>
      </c>
      <c r="K73">
        <v>4</v>
      </c>
      <c r="L73">
        <v>10</v>
      </c>
      <c r="M73">
        <v>0</v>
      </c>
      <c r="N73">
        <v>2</v>
      </c>
      <c r="O73">
        <v>32.799999999999997</v>
      </c>
      <c r="P73">
        <v>3.8</v>
      </c>
      <c r="Q73">
        <v>0</v>
      </c>
      <c r="R73">
        <v>0.8</v>
      </c>
      <c r="S73">
        <v>9.1</v>
      </c>
      <c r="T73">
        <v>0.48</v>
      </c>
      <c r="U73">
        <v>0.56999999999999995</v>
      </c>
      <c r="V73">
        <v>1.05</v>
      </c>
      <c r="W73">
        <v>12.88</v>
      </c>
      <c r="X73">
        <v>11</v>
      </c>
      <c r="Y73" t="s">
        <v>1000</v>
      </c>
      <c r="Z73">
        <v>433</v>
      </c>
      <c r="AA73">
        <v>91</v>
      </c>
      <c r="AB73">
        <v>89</v>
      </c>
      <c r="AC73">
        <v>32</v>
      </c>
      <c r="AD73">
        <v>98</v>
      </c>
      <c r="AE73">
        <v>40</v>
      </c>
      <c r="AF73">
        <v>271</v>
      </c>
      <c r="AG73">
        <v>101</v>
      </c>
      <c r="AH73">
        <f>fpl_player_statistics_cleaned[[#This Row],[Total Points]] / fpl_player_statistics_cleaned[[#This Row],[Now Cost]]</f>
        <v>9.1111111111111107</v>
      </c>
      <c r="AI73">
        <f>fpl_player_statistics_cleaned[[#This Row],[Goals Scored]] + fpl_player_statistics_cleaned[[#This Row],[Assists]]</f>
        <v>1</v>
      </c>
      <c r="AJ73">
        <f>fpl_player_statistics_cleaned[[#This Row],[Total Points]] / fpl_player_statistics_cleaned[[#This Row],[Starts]]</f>
        <v>3.7272727272727271</v>
      </c>
      <c r="AK73">
        <f>((fpl_player_statistics_cleaned[[#This Row],[Points Per Game]]) * fpl_player_statistics_cleaned[[#This Row],[Form]]) / fpl_player_statistics_cleaned[[#This Row],[Now Cost]]</f>
        <v>3.1244444444444444</v>
      </c>
      <c r="AL73">
        <f>fpl_player_statistics_cleaned[[#This Row],[Minutes]] / fpl_player_statistics_cleaned[[#This Row],[Total Points]]</f>
        <v>23.853658536585368</v>
      </c>
      <c r="AM7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128.10222222222222</v>
      </c>
    </row>
    <row r="74" spans="1:39" x14ac:dyDescent="0.2">
      <c r="A74" t="s">
        <v>121</v>
      </c>
      <c r="B74" t="s">
        <v>122</v>
      </c>
      <c r="C74" t="s">
        <v>41</v>
      </c>
      <c r="D74">
        <v>5.3</v>
      </c>
      <c r="E74">
        <v>41</v>
      </c>
      <c r="F74">
        <v>3.7</v>
      </c>
      <c r="G74">
        <v>3</v>
      </c>
      <c r="H74">
        <v>1</v>
      </c>
      <c r="I74">
        <v>1</v>
      </c>
      <c r="J74">
        <v>990</v>
      </c>
      <c r="K74">
        <v>0</v>
      </c>
      <c r="L74">
        <v>20</v>
      </c>
      <c r="M74">
        <v>0</v>
      </c>
      <c r="N74">
        <v>1</v>
      </c>
      <c r="O74">
        <v>61.4</v>
      </c>
      <c r="P74">
        <v>4.8</v>
      </c>
      <c r="Q74">
        <v>0</v>
      </c>
      <c r="R74">
        <v>0.9</v>
      </c>
      <c r="S74">
        <v>7.7</v>
      </c>
      <c r="T74">
        <v>1.58</v>
      </c>
      <c r="U74">
        <v>1.33</v>
      </c>
      <c r="V74">
        <v>2.91</v>
      </c>
      <c r="W74">
        <v>16.25</v>
      </c>
      <c r="X74">
        <v>11</v>
      </c>
      <c r="Y74" t="s">
        <v>1000</v>
      </c>
      <c r="Z74">
        <v>198</v>
      </c>
      <c r="AA74">
        <v>124</v>
      </c>
      <c r="AB74">
        <v>52</v>
      </c>
      <c r="AC74">
        <v>27</v>
      </c>
      <c r="AD74">
        <v>101</v>
      </c>
      <c r="AE74">
        <v>41</v>
      </c>
      <c r="AF74">
        <v>102</v>
      </c>
      <c r="AG74">
        <v>34</v>
      </c>
      <c r="AH74">
        <f>fpl_player_statistics_cleaned[[#This Row],[Total Points]] / fpl_player_statistics_cleaned[[#This Row],[Now Cost]]</f>
        <v>7.7358490566037741</v>
      </c>
      <c r="AI74">
        <f>fpl_player_statistics_cleaned[[#This Row],[Goals Scored]] + fpl_player_statistics_cleaned[[#This Row],[Assists]]</f>
        <v>2</v>
      </c>
      <c r="AJ74">
        <f>fpl_player_statistics_cleaned[[#This Row],[Total Points]] / fpl_player_statistics_cleaned[[#This Row],[Starts]]</f>
        <v>3.7272727272727271</v>
      </c>
      <c r="AK74">
        <f>((fpl_player_statistics_cleaned[[#This Row],[Points Per Game]]) * fpl_player_statistics_cleaned[[#This Row],[Form]]) / fpl_player_statistics_cleaned[[#This Row],[Now Cost]]</f>
        <v>3.3509433962264157</v>
      </c>
      <c r="AL74">
        <f>fpl_player_statistics_cleaned[[#This Row],[Minutes]] / fpl_player_statistics_cleaned[[#This Row],[Total Points]]</f>
        <v>24.146341463414632</v>
      </c>
      <c r="AM7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137.38867924528302</v>
      </c>
    </row>
    <row r="75" spans="1:39" x14ac:dyDescent="0.2">
      <c r="A75" t="s">
        <v>123</v>
      </c>
      <c r="B75" t="s">
        <v>100</v>
      </c>
      <c r="C75" t="s">
        <v>41</v>
      </c>
      <c r="D75">
        <v>5.4</v>
      </c>
      <c r="E75">
        <v>41</v>
      </c>
      <c r="F75">
        <v>3.7</v>
      </c>
      <c r="G75">
        <v>0.2</v>
      </c>
      <c r="H75">
        <v>1</v>
      </c>
      <c r="I75">
        <v>3</v>
      </c>
      <c r="J75">
        <v>709</v>
      </c>
      <c r="K75">
        <v>2</v>
      </c>
      <c r="L75">
        <v>11</v>
      </c>
      <c r="M75">
        <v>0</v>
      </c>
      <c r="N75">
        <v>3</v>
      </c>
      <c r="O75">
        <v>46.6</v>
      </c>
      <c r="P75">
        <v>5.5</v>
      </c>
      <c r="Q75">
        <v>1</v>
      </c>
      <c r="R75">
        <v>1</v>
      </c>
      <c r="S75">
        <v>7.6</v>
      </c>
      <c r="T75">
        <v>1.66</v>
      </c>
      <c r="U75">
        <v>1.43</v>
      </c>
      <c r="V75">
        <v>3.09</v>
      </c>
      <c r="W75">
        <v>10.35</v>
      </c>
      <c r="X75">
        <v>8</v>
      </c>
      <c r="Y75" t="s">
        <v>1000</v>
      </c>
      <c r="Z75">
        <v>170</v>
      </c>
      <c r="AA75">
        <v>104</v>
      </c>
      <c r="AB75">
        <v>26</v>
      </c>
      <c r="AC75">
        <v>11</v>
      </c>
      <c r="AD75">
        <v>102</v>
      </c>
      <c r="AE75">
        <v>42</v>
      </c>
      <c r="AF75">
        <v>384</v>
      </c>
      <c r="AG75">
        <v>132</v>
      </c>
      <c r="AH75">
        <f>fpl_player_statistics_cleaned[[#This Row],[Total Points]] / fpl_player_statistics_cleaned[[#This Row],[Now Cost]]</f>
        <v>7.5925925925925917</v>
      </c>
      <c r="AI75">
        <f>fpl_player_statistics_cleaned[[#This Row],[Goals Scored]] + fpl_player_statistics_cleaned[[#This Row],[Assists]]</f>
        <v>4</v>
      </c>
      <c r="AJ75">
        <f>fpl_player_statistics_cleaned[[#This Row],[Total Points]] / fpl_player_statistics_cleaned[[#This Row],[Starts]]</f>
        <v>5.125</v>
      </c>
      <c r="AK75">
        <f>((fpl_player_statistics_cleaned[[#This Row],[Points Per Game]]) * fpl_player_statistics_cleaned[[#This Row],[Form]]) / fpl_player_statistics_cleaned[[#This Row],[Now Cost]]</f>
        <v>3.7685185185185186</v>
      </c>
      <c r="AL75">
        <f>fpl_player_statistics_cleaned[[#This Row],[Minutes]] / fpl_player_statistics_cleaned[[#This Row],[Total Points]]</f>
        <v>17.292682926829269</v>
      </c>
      <c r="AM7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154.50925925925927</v>
      </c>
    </row>
    <row r="76" spans="1:39" x14ac:dyDescent="0.2">
      <c r="A76" t="s">
        <v>124</v>
      </c>
      <c r="B76" t="s">
        <v>37</v>
      </c>
      <c r="C76" t="s">
        <v>41</v>
      </c>
      <c r="D76">
        <v>7.6</v>
      </c>
      <c r="E76">
        <v>41</v>
      </c>
      <c r="F76">
        <v>4.0999999999999996</v>
      </c>
      <c r="G76">
        <v>13.7</v>
      </c>
      <c r="H76">
        <v>1</v>
      </c>
      <c r="I76">
        <v>3</v>
      </c>
      <c r="J76">
        <v>700</v>
      </c>
      <c r="K76">
        <v>6</v>
      </c>
      <c r="L76">
        <v>3</v>
      </c>
      <c r="M76">
        <v>0</v>
      </c>
      <c r="N76">
        <v>3</v>
      </c>
      <c r="O76">
        <v>43.4</v>
      </c>
      <c r="P76">
        <v>4.8</v>
      </c>
      <c r="Q76">
        <v>1</v>
      </c>
      <c r="R76">
        <v>0.6</v>
      </c>
      <c r="S76">
        <v>5.4</v>
      </c>
      <c r="T76">
        <v>1.88</v>
      </c>
      <c r="U76">
        <v>0.95</v>
      </c>
      <c r="V76">
        <v>2.83</v>
      </c>
      <c r="W76">
        <v>4.09</v>
      </c>
      <c r="X76">
        <v>8</v>
      </c>
      <c r="Y76" t="s">
        <v>1000</v>
      </c>
      <c r="Z76">
        <v>21</v>
      </c>
      <c r="AA76">
        <v>14</v>
      </c>
      <c r="AB76">
        <v>58</v>
      </c>
      <c r="AC76">
        <v>30</v>
      </c>
      <c r="AD76">
        <v>76</v>
      </c>
      <c r="AE76">
        <v>30</v>
      </c>
      <c r="AF76">
        <v>30</v>
      </c>
      <c r="AG76">
        <v>12</v>
      </c>
      <c r="AH76">
        <f>fpl_player_statistics_cleaned[[#This Row],[Total Points]] / fpl_player_statistics_cleaned[[#This Row],[Now Cost]]</f>
        <v>5.3947368421052637</v>
      </c>
      <c r="AI76">
        <f>fpl_player_statistics_cleaned[[#This Row],[Goals Scored]] + fpl_player_statistics_cleaned[[#This Row],[Assists]]</f>
        <v>4</v>
      </c>
      <c r="AJ76">
        <f>fpl_player_statistics_cleaned[[#This Row],[Total Points]] / fpl_player_statistics_cleaned[[#This Row],[Starts]]</f>
        <v>5.125</v>
      </c>
      <c r="AK76">
        <f>((fpl_player_statistics_cleaned[[#This Row],[Points Per Game]]) * fpl_player_statistics_cleaned[[#This Row],[Form]]) / fpl_player_statistics_cleaned[[#This Row],[Now Cost]]</f>
        <v>2.5894736842105259</v>
      </c>
      <c r="AL76">
        <f>fpl_player_statistics_cleaned[[#This Row],[Minutes]] / fpl_player_statistics_cleaned[[#This Row],[Total Points]]</f>
        <v>17.073170731707318</v>
      </c>
      <c r="AM7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106.16842105263157</v>
      </c>
    </row>
    <row r="77" spans="1:39" x14ac:dyDescent="0.2">
      <c r="A77" t="s">
        <v>125</v>
      </c>
      <c r="B77" t="s">
        <v>54</v>
      </c>
      <c r="C77" t="s">
        <v>35</v>
      </c>
      <c r="D77">
        <v>5.6</v>
      </c>
      <c r="E77">
        <v>41</v>
      </c>
      <c r="F77">
        <v>3.7</v>
      </c>
      <c r="G77">
        <v>3.5</v>
      </c>
      <c r="H77">
        <v>4</v>
      </c>
      <c r="I77">
        <v>0</v>
      </c>
      <c r="J77">
        <v>670</v>
      </c>
      <c r="K77">
        <v>3</v>
      </c>
      <c r="L77">
        <v>8</v>
      </c>
      <c r="M77">
        <v>0</v>
      </c>
      <c r="N77">
        <v>7</v>
      </c>
      <c r="O77">
        <v>37.799999999999997</v>
      </c>
      <c r="P77">
        <v>3.2</v>
      </c>
      <c r="Q77">
        <v>1</v>
      </c>
      <c r="R77">
        <v>0.6</v>
      </c>
      <c r="S77">
        <v>7.3</v>
      </c>
      <c r="T77">
        <v>2.46</v>
      </c>
      <c r="U77">
        <v>0.04</v>
      </c>
      <c r="V77">
        <v>2.5</v>
      </c>
      <c r="W77">
        <v>9.4499999999999993</v>
      </c>
      <c r="X77">
        <v>8</v>
      </c>
      <c r="Y77" t="s">
        <v>1000</v>
      </c>
      <c r="Z77">
        <v>131</v>
      </c>
      <c r="AA77">
        <v>33</v>
      </c>
      <c r="AB77">
        <v>116</v>
      </c>
      <c r="AC77">
        <v>9</v>
      </c>
      <c r="AD77">
        <v>103</v>
      </c>
      <c r="AE77">
        <v>11</v>
      </c>
      <c r="AF77">
        <v>91</v>
      </c>
      <c r="AG77">
        <v>17</v>
      </c>
      <c r="AH77">
        <f>fpl_player_statistics_cleaned[[#This Row],[Total Points]] / fpl_player_statistics_cleaned[[#This Row],[Now Cost]]</f>
        <v>7.3214285714285721</v>
      </c>
      <c r="AI77">
        <f>fpl_player_statistics_cleaned[[#This Row],[Goals Scored]] + fpl_player_statistics_cleaned[[#This Row],[Assists]]</f>
        <v>4</v>
      </c>
      <c r="AJ77">
        <f>fpl_player_statistics_cleaned[[#This Row],[Total Points]] / fpl_player_statistics_cleaned[[#This Row],[Starts]]</f>
        <v>5.125</v>
      </c>
      <c r="AK77">
        <f>((fpl_player_statistics_cleaned[[#This Row],[Points Per Game]]) * fpl_player_statistics_cleaned[[#This Row],[Form]]) / fpl_player_statistics_cleaned[[#This Row],[Now Cost]]</f>
        <v>2.1142857142857148</v>
      </c>
      <c r="AL77">
        <f>fpl_player_statistics_cleaned[[#This Row],[Minutes]] / fpl_player_statistics_cleaned[[#This Row],[Total Points]]</f>
        <v>16.341463414634145</v>
      </c>
      <c r="AM7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86.685714285714312</v>
      </c>
    </row>
    <row r="78" spans="1:39" x14ac:dyDescent="0.2">
      <c r="A78" t="s">
        <v>126</v>
      </c>
      <c r="B78" t="s">
        <v>100</v>
      </c>
      <c r="C78" t="s">
        <v>41</v>
      </c>
      <c r="D78">
        <v>4.9000000000000004</v>
      </c>
      <c r="E78">
        <v>40</v>
      </c>
      <c r="F78">
        <v>4</v>
      </c>
      <c r="G78">
        <v>2.1</v>
      </c>
      <c r="H78">
        <v>1</v>
      </c>
      <c r="I78">
        <v>2</v>
      </c>
      <c r="J78">
        <v>798</v>
      </c>
      <c r="K78">
        <v>2</v>
      </c>
      <c r="L78">
        <v>18</v>
      </c>
      <c r="M78">
        <v>0</v>
      </c>
      <c r="N78">
        <v>3</v>
      </c>
      <c r="O78">
        <v>49.6</v>
      </c>
      <c r="P78">
        <v>1.8</v>
      </c>
      <c r="Q78">
        <v>1</v>
      </c>
      <c r="R78">
        <v>0.4</v>
      </c>
      <c r="S78">
        <v>8.1999999999999993</v>
      </c>
      <c r="T78">
        <v>0.89</v>
      </c>
      <c r="U78">
        <v>0.75</v>
      </c>
      <c r="V78">
        <v>1.64</v>
      </c>
      <c r="W78">
        <v>12.22</v>
      </c>
      <c r="X78">
        <v>9</v>
      </c>
      <c r="Y78" t="s">
        <v>1000</v>
      </c>
      <c r="Z78">
        <v>328</v>
      </c>
      <c r="AA78">
        <v>206</v>
      </c>
      <c r="AB78">
        <v>209</v>
      </c>
      <c r="AC78">
        <v>104</v>
      </c>
      <c r="AD78">
        <v>78</v>
      </c>
      <c r="AE78">
        <v>32</v>
      </c>
      <c r="AF78">
        <v>123</v>
      </c>
      <c r="AG78">
        <v>41</v>
      </c>
      <c r="AH78">
        <f>fpl_player_statistics_cleaned[[#This Row],[Total Points]] / fpl_player_statistics_cleaned[[#This Row],[Now Cost]]</f>
        <v>8.1632653061224492</v>
      </c>
      <c r="AI78">
        <f>fpl_player_statistics_cleaned[[#This Row],[Goals Scored]] + fpl_player_statistics_cleaned[[#This Row],[Assists]]</f>
        <v>3</v>
      </c>
      <c r="AJ78">
        <f>fpl_player_statistics_cleaned[[#This Row],[Total Points]] / fpl_player_statistics_cleaned[[#This Row],[Starts]]</f>
        <v>4.4444444444444446</v>
      </c>
      <c r="AK78">
        <f>((fpl_player_statistics_cleaned[[#This Row],[Points Per Game]]) * fpl_player_statistics_cleaned[[#This Row],[Form]]) / fpl_player_statistics_cleaned[[#This Row],[Now Cost]]</f>
        <v>1.4693877551020407</v>
      </c>
      <c r="AL78">
        <f>fpl_player_statistics_cleaned[[#This Row],[Minutes]] / fpl_player_statistics_cleaned[[#This Row],[Total Points]]</f>
        <v>19.95</v>
      </c>
      <c r="AM7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58.775510204081627</v>
      </c>
    </row>
    <row r="79" spans="1:39" x14ac:dyDescent="0.2">
      <c r="A79" t="s">
        <v>127</v>
      </c>
      <c r="B79" t="s">
        <v>81</v>
      </c>
      <c r="C79" t="s">
        <v>38</v>
      </c>
      <c r="D79">
        <v>4.4000000000000004</v>
      </c>
      <c r="E79">
        <v>40</v>
      </c>
      <c r="F79">
        <v>3.6</v>
      </c>
      <c r="G79">
        <v>1.3</v>
      </c>
      <c r="H79">
        <v>1</v>
      </c>
      <c r="I79">
        <v>0</v>
      </c>
      <c r="J79">
        <v>990</v>
      </c>
      <c r="K79">
        <v>2</v>
      </c>
      <c r="L79">
        <v>15</v>
      </c>
      <c r="M79">
        <v>0</v>
      </c>
      <c r="N79">
        <v>4</v>
      </c>
      <c r="O79">
        <v>46.6</v>
      </c>
      <c r="P79">
        <v>4.5</v>
      </c>
      <c r="Q79">
        <v>1</v>
      </c>
      <c r="R79">
        <v>1</v>
      </c>
      <c r="S79">
        <v>9.1</v>
      </c>
      <c r="T79">
        <v>0.69</v>
      </c>
      <c r="U79">
        <v>0.28999999999999998</v>
      </c>
      <c r="V79">
        <v>0.97</v>
      </c>
      <c r="W79">
        <v>13.2</v>
      </c>
      <c r="X79">
        <v>11</v>
      </c>
      <c r="Y79" t="s">
        <v>1000</v>
      </c>
      <c r="Z79">
        <v>524</v>
      </c>
      <c r="AA79">
        <v>125</v>
      </c>
      <c r="AB79">
        <v>60</v>
      </c>
      <c r="AC79">
        <v>21</v>
      </c>
      <c r="AD79">
        <v>109</v>
      </c>
      <c r="AE79">
        <v>42</v>
      </c>
      <c r="AF79">
        <v>158</v>
      </c>
      <c r="AG79">
        <v>60</v>
      </c>
      <c r="AH79">
        <f>fpl_player_statistics_cleaned[[#This Row],[Total Points]] / fpl_player_statistics_cleaned[[#This Row],[Now Cost]]</f>
        <v>9.0909090909090899</v>
      </c>
      <c r="AI79">
        <f>fpl_player_statistics_cleaned[[#This Row],[Goals Scored]] + fpl_player_statistics_cleaned[[#This Row],[Assists]]</f>
        <v>1</v>
      </c>
      <c r="AJ79">
        <f>fpl_player_statistics_cleaned[[#This Row],[Total Points]] / fpl_player_statistics_cleaned[[#This Row],[Starts]]</f>
        <v>3.6363636363636362</v>
      </c>
      <c r="AK79">
        <f>((fpl_player_statistics_cleaned[[#This Row],[Points Per Game]]) * fpl_player_statistics_cleaned[[#This Row],[Form]]) / fpl_player_statistics_cleaned[[#This Row],[Now Cost]]</f>
        <v>3.6818181818181812</v>
      </c>
      <c r="AL79">
        <f>fpl_player_statistics_cleaned[[#This Row],[Minutes]] / fpl_player_statistics_cleaned[[#This Row],[Total Points]]</f>
        <v>24.75</v>
      </c>
      <c r="AM7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147.27272727272728</v>
      </c>
    </row>
    <row r="80" spans="1:39" x14ac:dyDescent="0.2">
      <c r="A80" t="s">
        <v>128</v>
      </c>
      <c r="B80" t="s">
        <v>92</v>
      </c>
      <c r="C80" t="s">
        <v>41</v>
      </c>
      <c r="D80">
        <v>6.5</v>
      </c>
      <c r="E80">
        <v>40</v>
      </c>
      <c r="F80">
        <v>3.6</v>
      </c>
      <c r="G80">
        <v>1.5</v>
      </c>
      <c r="H80">
        <v>1</v>
      </c>
      <c r="I80">
        <v>2</v>
      </c>
      <c r="J80">
        <v>899</v>
      </c>
      <c r="K80">
        <v>2</v>
      </c>
      <c r="L80">
        <v>15</v>
      </c>
      <c r="M80">
        <v>0</v>
      </c>
      <c r="N80">
        <v>5</v>
      </c>
      <c r="O80">
        <v>57.5</v>
      </c>
      <c r="P80">
        <v>2.5</v>
      </c>
      <c r="Q80">
        <v>1</v>
      </c>
      <c r="R80">
        <v>0.4</v>
      </c>
      <c r="S80">
        <v>6.2</v>
      </c>
      <c r="T80">
        <v>0.55000000000000004</v>
      </c>
      <c r="U80">
        <v>1.58</v>
      </c>
      <c r="V80">
        <v>2.13</v>
      </c>
      <c r="W80">
        <v>13.58</v>
      </c>
      <c r="X80">
        <v>11</v>
      </c>
      <c r="Y80" t="s">
        <v>1000</v>
      </c>
      <c r="Z80">
        <v>57</v>
      </c>
      <c r="AA80">
        <v>39</v>
      </c>
      <c r="AB80">
        <v>161</v>
      </c>
      <c r="AC80">
        <v>70</v>
      </c>
      <c r="AD80">
        <v>114</v>
      </c>
      <c r="AE80">
        <v>49</v>
      </c>
      <c r="AF80">
        <v>147</v>
      </c>
      <c r="AG80">
        <v>51</v>
      </c>
      <c r="AH80">
        <f>fpl_player_statistics_cleaned[[#This Row],[Total Points]] / fpl_player_statistics_cleaned[[#This Row],[Now Cost]]</f>
        <v>6.1538461538461542</v>
      </c>
      <c r="AI80">
        <f>fpl_player_statistics_cleaned[[#This Row],[Goals Scored]] + fpl_player_statistics_cleaned[[#This Row],[Assists]]</f>
        <v>3</v>
      </c>
      <c r="AJ80">
        <f>fpl_player_statistics_cleaned[[#This Row],[Total Points]] / fpl_player_statistics_cleaned[[#This Row],[Starts]]</f>
        <v>3.6363636363636362</v>
      </c>
      <c r="AK80">
        <f>((fpl_player_statistics_cleaned[[#This Row],[Points Per Game]]) * fpl_player_statistics_cleaned[[#This Row],[Form]]) / fpl_player_statistics_cleaned[[#This Row],[Now Cost]]</f>
        <v>1.3846153846153846</v>
      </c>
      <c r="AL80">
        <f>fpl_player_statistics_cleaned[[#This Row],[Minutes]] / fpl_player_statistics_cleaned[[#This Row],[Total Points]]</f>
        <v>22.475000000000001</v>
      </c>
      <c r="AM8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55.384615384615387</v>
      </c>
    </row>
    <row r="81" spans="1:39" x14ac:dyDescent="0.2">
      <c r="A81" t="s">
        <v>129</v>
      </c>
      <c r="B81" t="s">
        <v>37</v>
      </c>
      <c r="C81" t="s">
        <v>41</v>
      </c>
      <c r="D81">
        <v>6.9</v>
      </c>
      <c r="E81">
        <v>40</v>
      </c>
      <c r="F81">
        <v>4.4000000000000004</v>
      </c>
      <c r="G81">
        <v>0.7</v>
      </c>
      <c r="H81">
        <v>2</v>
      </c>
      <c r="I81">
        <v>2</v>
      </c>
      <c r="J81">
        <v>642</v>
      </c>
      <c r="K81">
        <v>4</v>
      </c>
      <c r="L81">
        <v>4</v>
      </c>
      <c r="M81">
        <v>0</v>
      </c>
      <c r="N81">
        <v>4</v>
      </c>
      <c r="O81">
        <v>47.8</v>
      </c>
      <c r="P81">
        <v>7</v>
      </c>
      <c r="Q81">
        <v>0</v>
      </c>
      <c r="R81">
        <v>1</v>
      </c>
      <c r="S81">
        <v>5.8</v>
      </c>
      <c r="T81">
        <v>1.92</v>
      </c>
      <c r="U81">
        <v>1.1499999999999999</v>
      </c>
      <c r="V81">
        <v>3.07</v>
      </c>
      <c r="W81">
        <v>3.61</v>
      </c>
      <c r="X81">
        <v>7</v>
      </c>
      <c r="Y81" t="s">
        <v>1000</v>
      </c>
      <c r="Z81">
        <v>37</v>
      </c>
      <c r="AA81">
        <v>22</v>
      </c>
      <c r="AB81">
        <v>9</v>
      </c>
      <c r="AC81">
        <v>4</v>
      </c>
      <c r="AD81">
        <v>58</v>
      </c>
      <c r="AE81">
        <v>24</v>
      </c>
      <c r="AF81">
        <v>196</v>
      </c>
      <c r="AG81">
        <v>66</v>
      </c>
      <c r="AH81">
        <f>fpl_player_statistics_cleaned[[#This Row],[Total Points]] / fpl_player_statistics_cleaned[[#This Row],[Now Cost]]</f>
        <v>5.7971014492753623</v>
      </c>
      <c r="AI81">
        <f>fpl_player_statistics_cleaned[[#This Row],[Goals Scored]] + fpl_player_statistics_cleaned[[#This Row],[Assists]]</f>
        <v>4</v>
      </c>
      <c r="AJ81">
        <f>fpl_player_statistics_cleaned[[#This Row],[Total Points]] / fpl_player_statistics_cleaned[[#This Row],[Starts]]</f>
        <v>5.7142857142857144</v>
      </c>
      <c r="AK81">
        <f>((fpl_player_statistics_cleaned[[#This Row],[Points Per Game]]) * fpl_player_statistics_cleaned[[#This Row],[Form]]) / fpl_player_statistics_cleaned[[#This Row],[Now Cost]]</f>
        <v>4.4637681159420293</v>
      </c>
      <c r="AL81">
        <f>fpl_player_statistics_cleaned[[#This Row],[Minutes]] / fpl_player_statistics_cleaned[[#This Row],[Total Points]]</f>
        <v>16.05</v>
      </c>
      <c r="AM8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178.55072463768116</v>
      </c>
    </row>
    <row r="82" spans="1:39" x14ac:dyDescent="0.2">
      <c r="A82" t="s">
        <v>130</v>
      </c>
      <c r="B82" t="s">
        <v>72</v>
      </c>
      <c r="C82" t="s">
        <v>35</v>
      </c>
      <c r="D82">
        <v>7.4</v>
      </c>
      <c r="E82">
        <v>40</v>
      </c>
      <c r="F82">
        <v>5</v>
      </c>
      <c r="G82">
        <v>22.2</v>
      </c>
      <c r="H82">
        <v>4</v>
      </c>
      <c r="I82">
        <v>1</v>
      </c>
      <c r="J82">
        <v>613</v>
      </c>
      <c r="K82">
        <v>4</v>
      </c>
      <c r="L82">
        <v>8</v>
      </c>
      <c r="M82">
        <v>0</v>
      </c>
      <c r="N82">
        <v>6</v>
      </c>
      <c r="O82">
        <v>38.5</v>
      </c>
      <c r="P82">
        <v>4</v>
      </c>
      <c r="Q82">
        <v>0</v>
      </c>
      <c r="R82">
        <v>0.5</v>
      </c>
      <c r="S82">
        <v>5.4</v>
      </c>
      <c r="T82">
        <v>3.03</v>
      </c>
      <c r="U82">
        <v>0.26</v>
      </c>
      <c r="V82">
        <v>3.29</v>
      </c>
      <c r="W82">
        <v>8.02</v>
      </c>
      <c r="X82">
        <v>8</v>
      </c>
      <c r="Y82" t="s">
        <v>1000</v>
      </c>
      <c r="Z82">
        <v>25</v>
      </c>
      <c r="AA82">
        <v>9</v>
      </c>
      <c r="AB82">
        <v>84</v>
      </c>
      <c r="AC82">
        <v>8</v>
      </c>
      <c r="AD82">
        <v>34</v>
      </c>
      <c r="AE82">
        <v>4</v>
      </c>
      <c r="AF82">
        <v>17</v>
      </c>
      <c r="AG82">
        <v>4</v>
      </c>
      <c r="AH82">
        <f>fpl_player_statistics_cleaned[[#This Row],[Total Points]] / fpl_player_statistics_cleaned[[#This Row],[Now Cost]]</f>
        <v>5.4054054054054053</v>
      </c>
      <c r="AI82">
        <f>fpl_player_statistics_cleaned[[#This Row],[Goals Scored]] + fpl_player_statistics_cleaned[[#This Row],[Assists]]</f>
        <v>5</v>
      </c>
      <c r="AJ82">
        <f>fpl_player_statistics_cleaned[[#This Row],[Total Points]] / fpl_player_statistics_cleaned[[#This Row],[Starts]]</f>
        <v>5</v>
      </c>
      <c r="AK82">
        <f>((fpl_player_statistics_cleaned[[#This Row],[Points Per Game]]) * fpl_player_statistics_cleaned[[#This Row],[Form]]) / fpl_player_statistics_cleaned[[#This Row],[Now Cost]]</f>
        <v>2.7027027027027026</v>
      </c>
      <c r="AL82">
        <f>fpl_player_statistics_cleaned[[#This Row],[Minutes]] / fpl_player_statistics_cleaned[[#This Row],[Total Points]]</f>
        <v>15.324999999999999</v>
      </c>
      <c r="AM8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108.1081081081081</v>
      </c>
    </row>
    <row r="83" spans="1:39" x14ac:dyDescent="0.2">
      <c r="A83" t="s">
        <v>131</v>
      </c>
      <c r="B83" t="s">
        <v>46</v>
      </c>
      <c r="C83" t="s">
        <v>41</v>
      </c>
      <c r="D83">
        <v>7</v>
      </c>
      <c r="E83">
        <v>40</v>
      </c>
      <c r="F83">
        <v>3.6</v>
      </c>
      <c r="G83">
        <v>0.7</v>
      </c>
      <c r="H83">
        <v>3</v>
      </c>
      <c r="I83">
        <v>2</v>
      </c>
      <c r="J83">
        <v>920</v>
      </c>
      <c r="K83">
        <v>2</v>
      </c>
      <c r="L83">
        <v>12</v>
      </c>
      <c r="M83">
        <v>0</v>
      </c>
      <c r="N83">
        <v>2</v>
      </c>
      <c r="O83">
        <v>59.5</v>
      </c>
      <c r="P83">
        <v>5.5</v>
      </c>
      <c r="Q83">
        <v>0</v>
      </c>
      <c r="R83">
        <v>0.8</v>
      </c>
      <c r="S83">
        <v>5.7</v>
      </c>
      <c r="T83">
        <v>3.07</v>
      </c>
      <c r="U83">
        <v>0.79</v>
      </c>
      <c r="V83">
        <v>3.86</v>
      </c>
      <c r="W83">
        <v>11.12</v>
      </c>
      <c r="X83">
        <v>10</v>
      </c>
      <c r="Y83" t="s">
        <v>1000</v>
      </c>
      <c r="Z83">
        <v>36</v>
      </c>
      <c r="AA83">
        <v>21</v>
      </c>
      <c r="AB83">
        <v>29</v>
      </c>
      <c r="AC83">
        <v>13</v>
      </c>
      <c r="AD83">
        <v>115</v>
      </c>
      <c r="AE83">
        <v>50</v>
      </c>
      <c r="AF83">
        <v>200</v>
      </c>
      <c r="AG83">
        <v>67</v>
      </c>
      <c r="AH83">
        <f>fpl_player_statistics_cleaned[[#This Row],[Total Points]] / fpl_player_statistics_cleaned[[#This Row],[Now Cost]]</f>
        <v>5.7142857142857144</v>
      </c>
      <c r="AI83">
        <f>fpl_player_statistics_cleaned[[#This Row],[Goals Scored]] + fpl_player_statistics_cleaned[[#This Row],[Assists]]</f>
        <v>5</v>
      </c>
      <c r="AJ83">
        <f>fpl_player_statistics_cleaned[[#This Row],[Total Points]] / fpl_player_statistics_cleaned[[#This Row],[Starts]]</f>
        <v>4</v>
      </c>
      <c r="AK83">
        <f>((fpl_player_statistics_cleaned[[#This Row],[Points Per Game]]) * fpl_player_statistics_cleaned[[#This Row],[Form]]) / fpl_player_statistics_cleaned[[#This Row],[Now Cost]]</f>
        <v>2.8285714285714287</v>
      </c>
      <c r="AL83">
        <f>fpl_player_statistics_cleaned[[#This Row],[Minutes]] / fpl_player_statistics_cleaned[[#This Row],[Total Points]]</f>
        <v>23</v>
      </c>
      <c r="AM8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113.14285714285714</v>
      </c>
    </row>
    <row r="84" spans="1:39" x14ac:dyDescent="0.2">
      <c r="A84" t="s">
        <v>911</v>
      </c>
      <c r="B84" t="s">
        <v>40</v>
      </c>
      <c r="C84" t="s">
        <v>55</v>
      </c>
      <c r="D84">
        <v>4.5</v>
      </c>
      <c r="E84">
        <v>40</v>
      </c>
      <c r="F84">
        <v>3.6</v>
      </c>
      <c r="G84">
        <v>5.7</v>
      </c>
      <c r="H84">
        <v>0</v>
      </c>
      <c r="I84">
        <v>0</v>
      </c>
      <c r="J84">
        <v>990</v>
      </c>
      <c r="K84">
        <v>4</v>
      </c>
      <c r="L84">
        <v>18</v>
      </c>
      <c r="M84">
        <v>35</v>
      </c>
      <c r="N84">
        <v>1</v>
      </c>
      <c r="O84">
        <v>27.7</v>
      </c>
      <c r="P84">
        <v>3.2</v>
      </c>
      <c r="Q84">
        <v>0</v>
      </c>
      <c r="R84">
        <v>0.7</v>
      </c>
      <c r="S84">
        <v>8.9</v>
      </c>
      <c r="T84">
        <v>0</v>
      </c>
      <c r="U84">
        <v>0</v>
      </c>
      <c r="V84">
        <v>0</v>
      </c>
      <c r="W84">
        <v>15.05</v>
      </c>
      <c r="X84">
        <v>11</v>
      </c>
      <c r="Y84" t="s">
        <v>1000</v>
      </c>
      <c r="Z84">
        <v>426</v>
      </c>
      <c r="AA84">
        <v>25</v>
      </c>
      <c r="AB84">
        <v>110</v>
      </c>
      <c r="AC84">
        <v>11</v>
      </c>
      <c r="AD84">
        <v>110</v>
      </c>
      <c r="AE84">
        <v>11</v>
      </c>
      <c r="AF84">
        <v>64</v>
      </c>
      <c r="AG84">
        <v>12</v>
      </c>
      <c r="AH84">
        <f>fpl_player_statistics_cleaned[[#This Row],[Total Points]] / fpl_player_statistics_cleaned[[#This Row],[Now Cost]]</f>
        <v>8.8888888888888893</v>
      </c>
      <c r="AI84">
        <f>fpl_player_statistics_cleaned[[#This Row],[Goals Scored]] + fpl_player_statistics_cleaned[[#This Row],[Assists]]</f>
        <v>0</v>
      </c>
      <c r="AJ84">
        <f>fpl_player_statistics_cleaned[[#This Row],[Total Points]] / fpl_player_statistics_cleaned[[#This Row],[Starts]]</f>
        <v>3.6363636363636362</v>
      </c>
      <c r="AK84">
        <f>((fpl_player_statistics_cleaned[[#This Row],[Points Per Game]]) * fpl_player_statistics_cleaned[[#This Row],[Form]]) / fpl_player_statistics_cleaned[[#This Row],[Now Cost]]</f>
        <v>2.5600000000000005</v>
      </c>
      <c r="AL84">
        <f>fpl_player_statistics_cleaned[[#This Row],[Minutes]] / fpl_player_statistics_cleaned[[#This Row],[Total Points]]</f>
        <v>24.75</v>
      </c>
      <c r="AM8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102.39999999999999</v>
      </c>
    </row>
    <row r="85" spans="1:39" x14ac:dyDescent="0.2">
      <c r="A85" t="s">
        <v>132</v>
      </c>
      <c r="B85" t="s">
        <v>70</v>
      </c>
      <c r="C85" t="s">
        <v>55</v>
      </c>
      <c r="D85">
        <v>5</v>
      </c>
      <c r="E85">
        <v>40</v>
      </c>
      <c r="F85">
        <v>4.4000000000000004</v>
      </c>
      <c r="G85">
        <v>2.1</v>
      </c>
      <c r="H85">
        <v>0</v>
      </c>
      <c r="I85">
        <v>0</v>
      </c>
      <c r="J85">
        <v>810</v>
      </c>
      <c r="K85">
        <v>3</v>
      </c>
      <c r="L85">
        <v>7</v>
      </c>
      <c r="M85">
        <v>20</v>
      </c>
      <c r="N85">
        <v>3</v>
      </c>
      <c r="O85">
        <v>18.2</v>
      </c>
      <c r="P85">
        <v>6.2</v>
      </c>
      <c r="Q85">
        <v>2</v>
      </c>
      <c r="R85">
        <v>1.2</v>
      </c>
      <c r="S85">
        <v>8</v>
      </c>
      <c r="T85">
        <v>0</v>
      </c>
      <c r="U85">
        <v>0.03</v>
      </c>
      <c r="V85">
        <v>0.03</v>
      </c>
      <c r="W85">
        <v>10.41</v>
      </c>
      <c r="X85">
        <v>9</v>
      </c>
      <c r="Y85" t="s">
        <v>1000</v>
      </c>
      <c r="Z85">
        <v>242</v>
      </c>
      <c r="AA85">
        <v>8</v>
      </c>
      <c r="AB85">
        <v>14</v>
      </c>
      <c r="AC85">
        <v>1</v>
      </c>
      <c r="AD85">
        <v>55</v>
      </c>
      <c r="AE85">
        <v>4</v>
      </c>
      <c r="AF85">
        <v>121</v>
      </c>
      <c r="AG85">
        <v>16</v>
      </c>
      <c r="AH85">
        <f>fpl_player_statistics_cleaned[[#This Row],[Total Points]] / fpl_player_statistics_cleaned[[#This Row],[Now Cost]]</f>
        <v>8</v>
      </c>
      <c r="AI85">
        <f>fpl_player_statistics_cleaned[[#This Row],[Goals Scored]] + fpl_player_statistics_cleaned[[#This Row],[Assists]]</f>
        <v>0</v>
      </c>
      <c r="AJ85">
        <f>fpl_player_statistics_cleaned[[#This Row],[Total Points]] / fpl_player_statistics_cleaned[[#This Row],[Starts]]</f>
        <v>4.4444444444444446</v>
      </c>
      <c r="AK85">
        <f>((fpl_player_statistics_cleaned[[#This Row],[Points Per Game]]) * fpl_player_statistics_cleaned[[#This Row],[Form]]) / fpl_player_statistics_cleaned[[#This Row],[Now Cost]]</f>
        <v>5.4560000000000013</v>
      </c>
      <c r="AL85">
        <f>fpl_player_statistics_cleaned[[#This Row],[Minutes]] / fpl_player_statistics_cleaned[[#This Row],[Total Points]]</f>
        <v>20.25</v>
      </c>
      <c r="AM8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218.24000000000004</v>
      </c>
    </row>
    <row r="86" spans="1:39" x14ac:dyDescent="0.2">
      <c r="A86" t="s">
        <v>133</v>
      </c>
      <c r="B86" t="s">
        <v>122</v>
      </c>
      <c r="C86" t="s">
        <v>41</v>
      </c>
      <c r="D86">
        <v>7.3</v>
      </c>
      <c r="E86">
        <v>40</v>
      </c>
      <c r="F86">
        <v>3.6</v>
      </c>
      <c r="G86">
        <v>3.2</v>
      </c>
      <c r="H86">
        <v>2</v>
      </c>
      <c r="I86">
        <v>1</v>
      </c>
      <c r="J86">
        <v>906</v>
      </c>
      <c r="K86">
        <v>0</v>
      </c>
      <c r="L86">
        <v>18</v>
      </c>
      <c r="M86">
        <v>0</v>
      </c>
      <c r="N86">
        <v>4</v>
      </c>
      <c r="O86">
        <v>57.8</v>
      </c>
      <c r="P86">
        <v>5.5</v>
      </c>
      <c r="Q86">
        <v>0</v>
      </c>
      <c r="R86">
        <v>0.8</v>
      </c>
      <c r="S86">
        <v>5.5</v>
      </c>
      <c r="T86">
        <v>2.4900000000000002</v>
      </c>
      <c r="U86">
        <v>0.98</v>
      </c>
      <c r="V86">
        <v>3.47</v>
      </c>
      <c r="W86">
        <v>15.56</v>
      </c>
      <c r="X86">
        <v>10</v>
      </c>
      <c r="Y86" t="s">
        <v>1000</v>
      </c>
      <c r="Z86">
        <v>28</v>
      </c>
      <c r="AA86">
        <v>17</v>
      </c>
      <c r="AB86">
        <v>30</v>
      </c>
      <c r="AC86">
        <v>14</v>
      </c>
      <c r="AD86">
        <v>116</v>
      </c>
      <c r="AE86">
        <v>51</v>
      </c>
      <c r="AF86">
        <v>98</v>
      </c>
      <c r="AG86">
        <v>32</v>
      </c>
      <c r="AH86">
        <f>fpl_player_statistics_cleaned[[#This Row],[Total Points]] / fpl_player_statistics_cleaned[[#This Row],[Now Cost]]</f>
        <v>5.4794520547945202</v>
      </c>
      <c r="AI86">
        <f>fpl_player_statistics_cleaned[[#This Row],[Goals Scored]] + fpl_player_statistics_cleaned[[#This Row],[Assists]]</f>
        <v>3</v>
      </c>
      <c r="AJ86">
        <f>fpl_player_statistics_cleaned[[#This Row],[Total Points]] / fpl_player_statistics_cleaned[[#This Row],[Starts]]</f>
        <v>4</v>
      </c>
      <c r="AK86">
        <f>((fpl_player_statistics_cleaned[[#This Row],[Points Per Game]]) * fpl_player_statistics_cleaned[[#This Row],[Form]]) / fpl_player_statistics_cleaned[[#This Row],[Now Cost]]</f>
        <v>2.7123287671232879</v>
      </c>
      <c r="AL86">
        <f>fpl_player_statistics_cleaned[[#This Row],[Minutes]] / fpl_player_statistics_cleaned[[#This Row],[Total Points]]</f>
        <v>22.65</v>
      </c>
      <c r="AM8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108.49315068493151</v>
      </c>
    </row>
    <row r="87" spans="1:39" x14ac:dyDescent="0.2">
      <c r="A87" t="s">
        <v>134</v>
      </c>
      <c r="B87" t="s">
        <v>46</v>
      </c>
      <c r="C87" t="s">
        <v>41</v>
      </c>
      <c r="D87">
        <v>6</v>
      </c>
      <c r="E87">
        <v>39</v>
      </c>
      <c r="F87">
        <v>3.9</v>
      </c>
      <c r="G87">
        <v>0.5</v>
      </c>
      <c r="H87">
        <v>2</v>
      </c>
      <c r="I87">
        <v>2</v>
      </c>
      <c r="J87">
        <v>640</v>
      </c>
      <c r="K87">
        <v>2</v>
      </c>
      <c r="L87">
        <v>9</v>
      </c>
      <c r="M87">
        <v>0</v>
      </c>
      <c r="N87">
        <v>4</v>
      </c>
      <c r="O87">
        <v>41.4</v>
      </c>
      <c r="P87">
        <v>5</v>
      </c>
      <c r="Q87">
        <v>1</v>
      </c>
      <c r="R87">
        <v>0.8</v>
      </c>
      <c r="S87">
        <v>6.5</v>
      </c>
      <c r="T87">
        <v>2.63</v>
      </c>
      <c r="U87">
        <v>0.39</v>
      </c>
      <c r="V87">
        <v>3.02</v>
      </c>
      <c r="W87">
        <v>7.43</v>
      </c>
      <c r="X87">
        <v>7</v>
      </c>
      <c r="Y87" t="s">
        <v>1000</v>
      </c>
      <c r="Z87">
        <v>90</v>
      </c>
      <c r="AA87">
        <v>59</v>
      </c>
      <c r="AB87">
        <v>44</v>
      </c>
      <c r="AC87">
        <v>22</v>
      </c>
      <c r="AD87">
        <v>88</v>
      </c>
      <c r="AE87">
        <v>37</v>
      </c>
      <c r="AF87">
        <v>231</v>
      </c>
      <c r="AG87">
        <v>81</v>
      </c>
      <c r="AH87">
        <f>fpl_player_statistics_cleaned[[#This Row],[Total Points]] / fpl_player_statistics_cleaned[[#This Row],[Now Cost]]</f>
        <v>6.5</v>
      </c>
      <c r="AI87">
        <f>fpl_player_statistics_cleaned[[#This Row],[Goals Scored]] + fpl_player_statistics_cleaned[[#This Row],[Assists]]</f>
        <v>4</v>
      </c>
      <c r="AJ87">
        <f>fpl_player_statistics_cleaned[[#This Row],[Total Points]] / fpl_player_statistics_cleaned[[#This Row],[Starts]]</f>
        <v>5.5714285714285712</v>
      </c>
      <c r="AK87">
        <f>((fpl_player_statistics_cleaned[[#This Row],[Points Per Game]]) * fpl_player_statistics_cleaned[[#This Row],[Form]]) / fpl_player_statistics_cleaned[[#This Row],[Now Cost]]</f>
        <v>3.25</v>
      </c>
      <c r="AL87">
        <f>fpl_player_statistics_cleaned[[#This Row],[Minutes]] / fpl_player_statistics_cleaned[[#This Row],[Total Points]]</f>
        <v>16.410256410256409</v>
      </c>
      <c r="AM8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126.75</v>
      </c>
    </row>
    <row r="88" spans="1:39" x14ac:dyDescent="0.2">
      <c r="A88" t="s">
        <v>135</v>
      </c>
      <c r="B88" t="s">
        <v>49</v>
      </c>
      <c r="C88" t="s">
        <v>38</v>
      </c>
      <c r="D88">
        <v>5</v>
      </c>
      <c r="E88">
        <v>39</v>
      </c>
      <c r="F88">
        <v>3.5</v>
      </c>
      <c r="G88">
        <v>3</v>
      </c>
      <c r="H88">
        <v>1</v>
      </c>
      <c r="I88">
        <v>0</v>
      </c>
      <c r="J88">
        <v>990</v>
      </c>
      <c r="K88">
        <v>1</v>
      </c>
      <c r="L88">
        <v>18</v>
      </c>
      <c r="M88">
        <v>0</v>
      </c>
      <c r="N88">
        <v>5</v>
      </c>
      <c r="O88">
        <v>36.700000000000003</v>
      </c>
      <c r="P88">
        <v>3.2</v>
      </c>
      <c r="Q88">
        <v>0</v>
      </c>
      <c r="R88">
        <v>0.6</v>
      </c>
      <c r="S88">
        <v>7.8</v>
      </c>
      <c r="T88">
        <v>0.99</v>
      </c>
      <c r="U88">
        <v>0.46</v>
      </c>
      <c r="V88">
        <v>1.45</v>
      </c>
      <c r="W88">
        <v>16.670000000000002</v>
      </c>
      <c r="X88">
        <v>11</v>
      </c>
      <c r="Y88" t="s">
        <v>1000</v>
      </c>
      <c r="Z88">
        <v>253</v>
      </c>
      <c r="AA88">
        <v>37</v>
      </c>
      <c r="AB88">
        <v>114</v>
      </c>
      <c r="AC88">
        <v>43</v>
      </c>
      <c r="AD88">
        <v>120</v>
      </c>
      <c r="AE88">
        <v>43</v>
      </c>
      <c r="AF88">
        <v>101</v>
      </c>
      <c r="AG88">
        <v>36</v>
      </c>
      <c r="AH88">
        <f>fpl_player_statistics_cleaned[[#This Row],[Total Points]] / fpl_player_statistics_cleaned[[#This Row],[Now Cost]]</f>
        <v>7.8</v>
      </c>
      <c r="AI88">
        <f>fpl_player_statistics_cleaned[[#This Row],[Goals Scored]] + fpl_player_statistics_cleaned[[#This Row],[Assists]]</f>
        <v>1</v>
      </c>
      <c r="AJ88">
        <f>fpl_player_statistics_cleaned[[#This Row],[Total Points]] / fpl_player_statistics_cleaned[[#This Row],[Starts]]</f>
        <v>3.5454545454545454</v>
      </c>
      <c r="AK88">
        <f>((fpl_player_statistics_cleaned[[#This Row],[Points Per Game]]) * fpl_player_statistics_cleaned[[#This Row],[Form]]) / fpl_player_statistics_cleaned[[#This Row],[Now Cost]]</f>
        <v>2.2400000000000002</v>
      </c>
      <c r="AL88">
        <f>fpl_player_statistics_cleaned[[#This Row],[Minutes]] / fpl_player_statistics_cleaned[[#This Row],[Total Points]]</f>
        <v>25.384615384615383</v>
      </c>
      <c r="AM8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87.36</v>
      </c>
    </row>
    <row r="89" spans="1:39" x14ac:dyDescent="0.2">
      <c r="A89" t="s">
        <v>912</v>
      </c>
      <c r="B89" t="s">
        <v>63</v>
      </c>
      <c r="C89" t="s">
        <v>38</v>
      </c>
      <c r="D89">
        <v>5.4</v>
      </c>
      <c r="E89">
        <v>39</v>
      </c>
      <c r="F89">
        <v>3.5</v>
      </c>
      <c r="G89">
        <v>2.7</v>
      </c>
      <c r="H89">
        <v>0</v>
      </c>
      <c r="I89">
        <v>0</v>
      </c>
      <c r="J89">
        <v>922</v>
      </c>
      <c r="K89">
        <v>3</v>
      </c>
      <c r="L89">
        <v>15</v>
      </c>
      <c r="M89">
        <v>0</v>
      </c>
      <c r="N89">
        <v>3</v>
      </c>
      <c r="O89">
        <v>33.6</v>
      </c>
      <c r="P89">
        <v>3.8</v>
      </c>
      <c r="Q89">
        <v>0</v>
      </c>
      <c r="R89">
        <v>0.7</v>
      </c>
      <c r="S89">
        <v>7.2</v>
      </c>
      <c r="T89">
        <v>0.74</v>
      </c>
      <c r="U89">
        <v>0.34</v>
      </c>
      <c r="V89">
        <v>1.08</v>
      </c>
      <c r="W89">
        <v>12.3</v>
      </c>
      <c r="X89">
        <v>11</v>
      </c>
      <c r="Y89" t="s">
        <v>1000</v>
      </c>
      <c r="Z89">
        <v>164</v>
      </c>
      <c r="AA89">
        <v>19</v>
      </c>
      <c r="AB89">
        <v>93</v>
      </c>
      <c r="AC89">
        <v>34</v>
      </c>
      <c r="AD89">
        <v>124</v>
      </c>
      <c r="AE89">
        <v>44</v>
      </c>
      <c r="AF89">
        <v>109</v>
      </c>
      <c r="AG89">
        <v>40</v>
      </c>
      <c r="AH89">
        <f>fpl_player_statistics_cleaned[[#This Row],[Total Points]] / fpl_player_statistics_cleaned[[#This Row],[Now Cost]]</f>
        <v>7.2222222222222214</v>
      </c>
      <c r="AI89">
        <f>fpl_player_statistics_cleaned[[#This Row],[Goals Scored]] + fpl_player_statistics_cleaned[[#This Row],[Assists]]</f>
        <v>0</v>
      </c>
      <c r="AJ89">
        <f>fpl_player_statistics_cleaned[[#This Row],[Total Points]] / fpl_player_statistics_cleaned[[#This Row],[Starts]]</f>
        <v>3.5454545454545454</v>
      </c>
      <c r="AK89">
        <f>((fpl_player_statistics_cleaned[[#This Row],[Points Per Game]]) * fpl_player_statistics_cleaned[[#This Row],[Form]]) / fpl_player_statistics_cleaned[[#This Row],[Now Cost]]</f>
        <v>2.4629629629629628</v>
      </c>
      <c r="AL89">
        <f>fpl_player_statistics_cleaned[[#This Row],[Minutes]] / fpl_player_statistics_cleaned[[#This Row],[Total Points]]</f>
        <v>23.641025641025642</v>
      </c>
      <c r="AM8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96.055555555555543</v>
      </c>
    </row>
    <row r="90" spans="1:39" x14ac:dyDescent="0.2">
      <c r="A90" t="s">
        <v>136</v>
      </c>
      <c r="B90" t="s">
        <v>37</v>
      </c>
      <c r="C90" t="s">
        <v>38</v>
      </c>
      <c r="D90">
        <v>6</v>
      </c>
      <c r="E90">
        <v>39</v>
      </c>
      <c r="F90">
        <v>3.9</v>
      </c>
      <c r="G90">
        <v>11.6</v>
      </c>
      <c r="H90">
        <v>0</v>
      </c>
      <c r="I90">
        <v>0</v>
      </c>
      <c r="J90">
        <v>724</v>
      </c>
      <c r="K90">
        <v>5</v>
      </c>
      <c r="L90">
        <v>3</v>
      </c>
      <c r="M90">
        <v>0</v>
      </c>
      <c r="N90">
        <v>1</v>
      </c>
      <c r="O90">
        <v>22</v>
      </c>
      <c r="P90">
        <v>3.5</v>
      </c>
      <c r="Q90">
        <v>0</v>
      </c>
      <c r="R90">
        <v>0.6</v>
      </c>
      <c r="S90">
        <v>6.5</v>
      </c>
      <c r="T90">
        <v>0.28999999999999998</v>
      </c>
      <c r="U90">
        <v>0.23</v>
      </c>
      <c r="V90">
        <v>0.52</v>
      </c>
      <c r="W90">
        <v>4.6500000000000004</v>
      </c>
      <c r="X90">
        <v>9</v>
      </c>
      <c r="Y90" t="s">
        <v>1000</v>
      </c>
      <c r="Z90">
        <v>86</v>
      </c>
      <c r="AA90">
        <v>4</v>
      </c>
      <c r="AB90">
        <v>106</v>
      </c>
      <c r="AC90">
        <v>38</v>
      </c>
      <c r="AD90">
        <v>87</v>
      </c>
      <c r="AE90">
        <v>36</v>
      </c>
      <c r="AF90">
        <v>37</v>
      </c>
      <c r="AG90">
        <v>12</v>
      </c>
      <c r="AH90">
        <f>fpl_player_statistics_cleaned[[#This Row],[Total Points]] / fpl_player_statistics_cleaned[[#This Row],[Now Cost]]</f>
        <v>6.5</v>
      </c>
      <c r="AI90">
        <f>fpl_player_statistics_cleaned[[#This Row],[Goals Scored]] + fpl_player_statistics_cleaned[[#This Row],[Assists]]</f>
        <v>0</v>
      </c>
      <c r="AJ90">
        <f>fpl_player_statistics_cleaned[[#This Row],[Total Points]] / fpl_player_statistics_cleaned[[#This Row],[Starts]]</f>
        <v>4.333333333333333</v>
      </c>
      <c r="AK90">
        <f>((fpl_player_statistics_cleaned[[#This Row],[Points Per Game]]) * fpl_player_statistics_cleaned[[#This Row],[Form]]) / fpl_player_statistics_cleaned[[#This Row],[Now Cost]]</f>
        <v>2.2749999999999999</v>
      </c>
      <c r="AL90">
        <f>fpl_player_statistics_cleaned[[#This Row],[Minutes]] / fpl_player_statistics_cleaned[[#This Row],[Total Points]]</f>
        <v>18.564102564102566</v>
      </c>
      <c r="AM9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88.724999999999994</v>
      </c>
    </row>
    <row r="91" spans="1:39" x14ac:dyDescent="0.2">
      <c r="A91" t="s">
        <v>137</v>
      </c>
      <c r="B91" t="s">
        <v>47</v>
      </c>
      <c r="C91" t="s">
        <v>38</v>
      </c>
      <c r="D91">
        <v>4.9000000000000004</v>
      </c>
      <c r="E91">
        <v>39</v>
      </c>
      <c r="F91">
        <v>4.3</v>
      </c>
      <c r="G91">
        <v>1.1000000000000001</v>
      </c>
      <c r="H91">
        <v>1</v>
      </c>
      <c r="I91">
        <v>1</v>
      </c>
      <c r="J91">
        <v>549</v>
      </c>
      <c r="K91">
        <v>4</v>
      </c>
      <c r="L91">
        <v>5</v>
      </c>
      <c r="M91">
        <v>0</v>
      </c>
      <c r="N91">
        <v>3</v>
      </c>
      <c r="O91">
        <v>27.7</v>
      </c>
      <c r="P91">
        <v>6</v>
      </c>
      <c r="Q91">
        <v>1</v>
      </c>
      <c r="R91">
        <v>1.2</v>
      </c>
      <c r="S91">
        <v>8</v>
      </c>
      <c r="T91">
        <v>0.69</v>
      </c>
      <c r="U91">
        <v>0.43</v>
      </c>
      <c r="V91">
        <v>1.1200000000000001</v>
      </c>
      <c r="W91">
        <v>7.96</v>
      </c>
      <c r="X91">
        <v>6</v>
      </c>
      <c r="Y91" t="s">
        <v>1000</v>
      </c>
      <c r="Z91">
        <v>333</v>
      </c>
      <c r="AA91">
        <v>56</v>
      </c>
      <c r="AB91">
        <v>19</v>
      </c>
      <c r="AC91">
        <v>7</v>
      </c>
      <c r="AD91">
        <v>59</v>
      </c>
      <c r="AE91">
        <v>26</v>
      </c>
      <c r="AF91">
        <v>172</v>
      </c>
      <c r="AG91">
        <v>65</v>
      </c>
      <c r="AH91">
        <f>fpl_player_statistics_cleaned[[#This Row],[Total Points]] / fpl_player_statistics_cleaned[[#This Row],[Now Cost]]</f>
        <v>7.9591836734693873</v>
      </c>
      <c r="AI91">
        <f>fpl_player_statistics_cleaned[[#This Row],[Goals Scored]] + fpl_player_statistics_cleaned[[#This Row],[Assists]]</f>
        <v>2</v>
      </c>
      <c r="AJ91">
        <f>fpl_player_statistics_cleaned[[#This Row],[Total Points]] / fpl_player_statistics_cleaned[[#This Row],[Starts]]</f>
        <v>6.5</v>
      </c>
      <c r="AK91">
        <f>((fpl_player_statistics_cleaned[[#This Row],[Points Per Game]]) * fpl_player_statistics_cleaned[[#This Row],[Form]]) / fpl_player_statistics_cleaned[[#This Row],[Now Cost]]</f>
        <v>5.2653061224489788</v>
      </c>
      <c r="AL91">
        <f>fpl_player_statistics_cleaned[[#This Row],[Minutes]] / fpl_player_statistics_cleaned[[#This Row],[Total Points]]</f>
        <v>14.076923076923077</v>
      </c>
      <c r="AM9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205.34693877551018</v>
      </c>
    </row>
    <row r="92" spans="1:39" x14ac:dyDescent="0.2">
      <c r="A92" t="s">
        <v>138</v>
      </c>
      <c r="B92" t="s">
        <v>92</v>
      </c>
      <c r="C92" t="s">
        <v>38</v>
      </c>
      <c r="D92">
        <v>4.5</v>
      </c>
      <c r="E92">
        <v>39</v>
      </c>
      <c r="F92">
        <v>3.9</v>
      </c>
      <c r="G92">
        <v>2.8</v>
      </c>
      <c r="H92">
        <v>0</v>
      </c>
      <c r="I92">
        <v>0</v>
      </c>
      <c r="J92">
        <v>851</v>
      </c>
      <c r="K92">
        <v>2</v>
      </c>
      <c r="L92">
        <v>13</v>
      </c>
      <c r="M92">
        <v>0</v>
      </c>
      <c r="N92">
        <v>2</v>
      </c>
      <c r="O92">
        <v>31.1</v>
      </c>
      <c r="P92">
        <v>2.5</v>
      </c>
      <c r="Q92">
        <v>1</v>
      </c>
      <c r="R92">
        <v>0.6</v>
      </c>
      <c r="S92">
        <v>8.6999999999999993</v>
      </c>
      <c r="T92">
        <v>0.48</v>
      </c>
      <c r="U92">
        <v>0.97</v>
      </c>
      <c r="V92">
        <v>1.45</v>
      </c>
      <c r="W92">
        <v>11.31</v>
      </c>
      <c r="X92">
        <v>10</v>
      </c>
      <c r="Y92" t="s">
        <v>1000</v>
      </c>
      <c r="Z92">
        <v>402</v>
      </c>
      <c r="AA92">
        <v>75</v>
      </c>
      <c r="AB92">
        <v>149</v>
      </c>
      <c r="AC92">
        <v>55</v>
      </c>
      <c r="AD92">
        <v>84</v>
      </c>
      <c r="AE92">
        <v>34</v>
      </c>
      <c r="AF92">
        <v>106</v>
      </c>
      <c r="AG92">
        <v>38</v>
      </c>
      <c r="AH92">
        <f>fpl_player_statistics_cleaned[[#This Row],[Total Points]] / fpl_player_statistics_cleaned[[#This Row],[Now Cost]]</f>
        <v>8.6666666666666661</v>
      </c>
      <c r="AI92">
        <f>fpl_player_statistics_cleaned[[#This Row],[Goals Scored]] + fpl_player_statistics_cleaned[[#This Row],[Assists]]</f>
        <v>0</v>
      </c>
      <c r="AJ92">
        <f>fpl_player_statistics_cleaned[[#This Row],[Total Points]] / fpl_player_statistics_cleaned[[#This Row],[Starts]]</f>
        <v>3.9</v>
      </c>
      <c r="AK92">
        <f>((fpl_player_statistics_cleaned[[#This Row],[Points Per Game]]) * fpl_player_statistics_cleaned[[#This Row],[Form]]) / fpl_player_statistics_cleaned[[#This Row],[Now Cost]]</f>
        <v>2.1666666666666665</v>
      </c>
      <c r="AL92">
        <f>fpl_player_statistics_cleaned[[#This Row],[Minutes]] / fpl_player_statistics_cleaned[[#This Row],[Total Points]]</f>
        <v>21.820512820512821</v>
      </c>
      <c r="AM9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84.5</v>
      </c>
    </row>
    <row r="93" spans="1:39" x14ac:dyDescent="0.2">
      <c r="A93" t="s">
        <v>913</v>
      </c>
      <c r="B93" t="s">
        <v>63</v>
      </c>
      <c r="C93" t="s">
        <v>35</v>
      </c>
      <c r="D93">
        <v>8.6</v>
      </c>
      <c r="E93">
        <v>39</v>
      </c>
      <c r="F93">
        <v>3.9</v>
      </c>
      <c r="G93">
        <v>15.6</v>
      </c>
      <c r="H93">
        <v>3</v>
      </c>
      <c r="I93">
        <v>1</v>
      </c>
      <c r="J93">
        <v>630</v>
      </c>
      <c r="K93">
        <v>3</v>
      </c>
      <c r="L93">
        <v>10</v>
      </c>
      <c r="M93">
        <v>0</v>
      </c>
      <c r="N93">
        <v>7</v>
      </c>
      <c r="O93">
        <v>36.6</v>
      </c>
      <c r="P93">
        <v>1.5</v>
      </c>
      <c r="Q93">
        <v>0</v>
      </c>
      <c r="R93">
        <v>0.2</v>
      </c>
      <c r="S93">
        <v>4.5</v>
      </c>
      <c r="T93">
        <v>2.33</v>
      </c>
      <c r="U93">
        <v>0.31</v>
      </c>
      <c r="V93">
        <v>2.64</v>
      </c>
      <c r="W93">
        <v>9.2899999999999991</v>
      </c>
      <c r="X93">
        <v>8</v>
      </c>
      <c r="Y93" t="s">
        <v>1000</v>
      </c>
      <c r="Z93">
        <v>8</v>
      </c>
      <c r="AA93">
        <v>4</v>
      </c>
      <c r="AB93">
        <v>240</v>
      </c>
      <c r="AC93">
        <v>27</v>
      </c>
      <c r="AD93">
        <v>89</v>
      </c>
      <c r="AE93">
        <v>9</v>
      </c>
      <c r="AF93">
        <v>27</v>
      </c>
      <c r="AG93">
        <v>5</v>
      </c>
      <c r="AH93">
        <f>fpl_player_statistics_cleaned[[#This Row],[Total Points]] / fpl_player_statistics_cleaned[[#This Row],[Now Cost]]</f>
        <v>4.5348837209302326</v>
      </c>
      <c r="AI93">
        <f>fpl_player_statistics_cleaned[[#This Row],[Goals Scored]] + fpl_player_statistics_cleaned[[#This Row],[Assists]]</f>
        <v>4</v>
      </c>
      <c r="AJ93">
        <f>fpl_player_statistics_cleaned[[#This Row],[Total Points]] / fpl_player_statistics_cleaned[[#This Row],[Starts]]</f>
        <v>4.875</v>
      </c>
      <c r="AK93">
        <f>((fpl_player_statistics_cleaned[[#This Row],[Points Per Game]]) * fpl_player_statistics_cleaned[[#This Row],[Form]]) / fpl_player_statistics_cleaned[[#This Row],[Now Cost]]</f>
        <v>0.68023255813953487</v>
      </c>
      <c r="AL93">
        <f>fpl_player_statistics_cleaned[[#This Row],[Minutes]] / fpl_player_statistics_cleaned[[#This Row],[Total Points]]</f>
        <v>16.153846153846153</v>
      </c>
      <c r="AM9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26.529069767441861</v>
      </c>
    </row>
    <row r="94" spans="1:39" x14ac:dyDescent="0.2">
      <c r="A94" t="s">
        <v>914</v>
      </c>
      <c r="B94" t="s">
        <v>70</v>
      </c>
      <c r="C94" t="s">
        <v>41</v>
      </c>
      <c r="D94">
        <v>5.3</v>
      </c>
      <c r="E94">
        <v>39</v>
      </c>
      <c r="F94">
        <v>4.3</v>
      </c>
      <c r="G94">
        <v>0.3</v>
      </c>
      <c r="H94">
        <v>3</v>
      </c>
      <c r="I94">
        <v>2</v>
      </c>
      <c r="J94">
        <v>435</v>
      </c>
      <c r="K94">
        <v>2</v>
      </c>
      <c r="L94">
        <v>3</v>
      </c>
      <c r="M94">
        <v>0</v>
      </c>
      <c r="N94">
        <v>7</v>
      </c>
      <c r="O94">
        <v>40.5</v>
      </c>
      <c r="P94">
        <v>5.5</v>
      </c>
      <c r="Q94">
        <v>2</v>
      </c>
      <c r="R94">
        <v>1</v>
      </c>
      <c r="S94">
        <v>7.4</v>
      </c>
      <c r="T94">
        <v>1</v>
      </c>
      <c r="U94">
        <v>0.67</v>
      </c>
      <c r="V94">
        <v>1.67</v>
      </c>
      <c r="W94">
        <v>5.82</v>
      </c>
      <c r="X94">
        <v>4</v>
      </c>
      <c r="Y94" t="s">
        <v>1000</v>
      </c>
      <c r="Z94">
        <v>194</v>
      </c>
      <c r="AA94">
        <v>121</v>
      </c>
      <c r="AB94">
        <v>25</v>
      </c>
      <c r="AC94">
        <v>10</v>
      </c>
      <c r="AD94">
        <v>61</v>
      </c>
      <c r="AE94">
        <v>25</v>
      </c>
      <c r="AF94">
        <v>323</v>
      </c>
      <c r="AG94">
        <v>111</v>
      </c>
      <c r="AH94">
        <f>fpl_player_statistics_cleaned[[#This Row],[Total Points]] / fpl_player_statistics_cleaned[[#This Row],[Now Cost]]</f>
        <v>7.3584905660377364</v>
      </c>
      <c r="AI94">
        <f>fpl_player_statistics_cleaned[[#This Row],[Goals Scored]] + fpl_player_statistics_cleaned[[#This Row],[Assists]]</f>
        <v>5</v>
      </c>
      <c r="AJ94">
        <f>fpl_player_statistics_cleaned[[#This Row],[Total Points]] / fpl_player_statistics_cleaned[[#This Row],[Starts]]</f>
        <v>9.75</v>
      </c>
      <c r="AK94">
        <f>((fpl_player_statistics_cleaned[[#This Row],[Points Per Game]]) * fpl_player_statistics_cleaned[[#This Row],[Form]]) / fpl_player_statistics_cleaned[[#This Row],[Now Cost]]</f>
        <v>4.4622641509433958</v>
      </c>
      <c r="AL94">
        <f>fpl_player_statistics_cleaned[[#This Row],[Minutes]] / fpl_player_statistics_cleaned[[#This Row],[Total Points]]</f>
        <v>11.153846153846153</v>
      </c>
      <c r="AM9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174.02830188679246</v>
      </c>
    </row>
    <row r="95" spans="1:39" x14ac:dyDescent="0.2">
      <c r="A95" t="s">
        <v>139</v>
      </c>
      <c r="B95" t="s">
        <v>100</v>
      </c>
      <c r="C95" t="s">
        <v>41</v>
      </c>
      <c r="D95">
        <v>4.9000000000000004</v>
      </c>
      <c r="E95">
        <v>38</v>
      </c>
      <c r="F95">
        <v>3.5</v>
      </c>
      <c r="G95">
        <v>1.1000000000000001</v>
      </c>
      <c r="H95">
        <v>1</v>
      </c>
      <c r="I95">
        <v>2</v>
      </c>
      <c r="J95">
        <v>787</v>
      </c>
      <c r="K95">
        <v>1</v>
      </c>
      <c r="L95">
        <v>13</v>
      </c>
      <c r="M95">
        <v>0</v>
      </c>
      <c r="N95">
        <v>4</v>
      </c>
      <c r="O95">
        <v>56.2</v>
      </c>
      <c r="P95">
        <v>2.5</v>
      </c>
      <c r="Q95">
        <v>1</v>
      </c>
      <c r="R95">
        <v>0.5</v>
      </c>
      <c r="S95">
        <v>7.8</v>
      </c>
      <c r="T95">
        <v>0.68</v>
      </c>
      <c r="U95">
        <v>0.92</v>
      </c>
      <c r="V95">
        <v>1.6</v>
      </c>
      <c r="W95">
        <v>9.6999999999999993</v>
      </c>
      <c r="X95">
        <v>9</v>
      </c>
      <c r="Y95" t="s">
        <v>1000</v>
      </c>
      <c r="Z95">
        <v>299</v>
      </c>
      <c r="AA95">
        <v>188</v>
      </c>
      <c r="AB95">
        <v>152</v>
      </c>
      <c r="AC95">
        <v>64</v>
      </c>
      <c r="AD95">
        <v>118</v>
      </c>
      <c r="AE95">
        <v>52</v>
      </c>
      <c r="AF95">
        <v>174</v>
      </c>
      <c r="AG95">
        <v>60</v>
      </c>
      <c r="AH95">
        <f>fpl_player_statistics_cleaned[[#This Row],[Total Points]] / fpl_player_statistics_cleaned[[#This Row],[Now Cost]]</f>
        <v>7.7551020408163263</v>
      </c>
      <c r="AI95">
        <f>fpl_player_statistics_cleaned[[#This Row],[Goals Scored]] + fpl_player_statistics_cleaned[[#This Row],[Assists]]</f>
        <v>3</v>
      </c>
      <c r="AJ95">
        <f>fpl_player_statistics_cleaned[[#This Row],[Total Points]] / fpl_player_statistics_cleaned[[#This Row],[Starts]]</f>
        <v>4.2222222222222223</v>
      </c>
      <c r="AK95">
        <f>((fpl_player_statistics_cleaned[[#This Row],[Points Per Game]]) * fpl_player_statistics_cleaned[[#This Row],[Form]]) / fpl_player_statistics_cleaned[[#This Row],[Now Cost]]</f>
        <v>1.7857142857142856</v>
      </c>
      <c r="AL95">
        <f>fpl_player_statistics_cleaned[[#This Row],[Minutes]] / fpl_player_statistics_cleaned[[#This Row],[Total Points]]</f>
        <v>20.710526315789473</v>
      </c>
      <c r="AM9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67.857142857142847</v>
      </c>
    </row>
    <row r="96" spans="1:39" x14ac:dyDescent="0.2">
      <c r="A96" t="s">
        <v>140</v>
      </c>
      <c r="B96" t="s">
        <v>49</v>
      </c>
      <c r="C96" t="s">
        <v>41</v>
      </c>
      <c r="D96">
        <v>6.3</v>
      </c>
      <c r="E96">
        <v>37</v>
      </c>
      <c r="F96">
        <v>3.7</v>
      </c>
      <c r="G96">
        <v>1.6</v>
      </c>
      <c r="H96">
        <v>1</v>
      </c>
      <c r="I96">
        <v>3</v>
      </c>
      <c r="J96">
        <v>753</v>
      </c>
      <c r="K96">
        <v>2</v>
      </c>
      <c r="L96">
        <v>10</v>
      </c>
      <c r="M96">
        <v>0</v>
      </c>
      <c r="N96">
        <v>5</v>
      </c>
      <c r="O96">
        <v>55.1</v>
      </c>
      <c r="P96">
        <v>5.8</v>
      </c>
      <c r="Q96">
        <v>0</v>
      </c>
      <c r="R96">
        <v>0.9</v>
      </c>
      <c r="S96">
        <v>5.9</v>
      </c>
      <c r="T96">
        <v>2.0699999999999998</v>
      </c>
      <c r="U96">
        <v>1.45</v>
      </c>
      <c r="V96">
        <v>3.52</v>
      </c>
      <c r="W96">
        <v>10.4</v>
      </c>
      <c r="X96">
        <v>9</v>
      </c>
      <c r="Y96" t="s">
        <v>1000</v>
      </c>
      <c r="Z96">
        <v>74</v>
      </c>
      <c r="AA96">
        <v>51</v>
      </c>
      <c r="AB96">
        <v>24</v>
      </c>
      <c r="AC96">
        <v>9</v>
      </c>
      <c r="AD96">
        <v>106</v>
      </c>
      <c r="AE96">
        <v>44</v>
      </c>
      <c r="AF96">
        <v>144</v>
      </c>
      <c r="AG96">
        <v>50</v>
      </c>
      <c r="AH96">
        <f>fpl_player_statistics_cleaned[[#This Row],[Total Points]] / fpl_player_statistics_cleaned[[#This Row],[Now Cost]]</f>
        <v>5.8730158730158735</v>
      </c>
      <c r="AI96">
        <f>fpl_player_statistics_cleaned[[#This Row],[Goals Scored]] + fpl_player_statistics_cleaned[[#This Row],[Assists]]</f>
        <v>4</v>
      </c>
      <c r="AJ96">
        <f>fpl_player_statistics_cleaned[[#This Row],[Total Points]] / fpl_player_statistics_cleaned[[#This Row],[Starts]]</f>
        <v>4.1111111111111107</v>
      </c>
      <c r="AK96">
        <f>((fpl_player_statistics_cleaned[[#This Row],[Points Per Game]]) * fpl_player_statistics_cleaned[[#This Row],[Form]]) / fpl_player_statistics_cleaned[[#This Row],[Now Cost]]</f>
        <v>3.4063492063492067</v>
      </c>
      <c r="AL96">
        <f>fpl_player_statistics_cleaned[[#This Row],[Minutes]] / fpl_player_statistics_cleaned[[#This Row],[Total Points]]</f>
        <v>20.351351351351351</v>
      </c>
      <c r="AM9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126.03492063492064</v>
      </c>
    </row>
    <row r="97" spans="1:39" hidden="1" x14ac:dyDescent="0.2">
      <c r="A97" t="s">
        <v>141</v>
      </c>
      <c r="B97" t="s">
        <v>72</v>
      </c>
      <c r="C97" t="s">
        <v>38</v>
      </c>
      <c r="D97">
        <v>4.9000000000000004</v>
      </c>
      <c r="E97">
        <v>37</v>
      </c>
      <c r="F97">
        <v>6.2</v>
      </c>
      <c r="G97">
        <v>2.8</v>
      </c>
      <c r="H97">
        <v>0</v>
      </c>
      <c r="I97">
        <v>1</v>
      </c>
      <c r="J97">
        <v>526</v>
      </c>
      <c r="K97">
        <v>5</v>
      </c>
      <c r="L97">
        <v>3</v>
      </c>
      <c r="M97">
        <v>0</v>
      </c>
      <c r="N97">
        <v>3</v>
      </c>
      <c r="O97">
        <v>14.3</v>
      </c>
      <c r="P97">
        <v>0</v>
      </c>
      <c r="Q97">
        <v>0</v>
      </c>
      <c r="R97">
        <v>0</v>
      </c>
      <c r="S97">
        <v>7.6</v>
      </c>
      <c r="T97">
        <v>0</v>
      </c>
      <c r="U97">
        <v>0.33</v>
      </c>
      <c r="V97">
        <v>0.33</v>
      </c>
      <c r="W97">
        <v>4.28</v>
      </c>
      <c r="X97">
        <v>6</v>
      </c>
      <c r="Y97" t="s">
        <v>142</v>
      </c>
      <c r="Z97">
        <v>323</v>
      </c>
      <c r="AA97">
        <v>53</v>
      </c>
      <c r="AB97">
        <v>672</v>
      </c>
      <c r="AC97">
        <v>238</v>
      </c>
      <c r="AD97">
        <v>5</v>
      </c>
      <c r="AE97">
        <v>3</v>
      </c>
      <c r="AF97">
        <v>107</v>
      </c>
      <c r="AG97">
        <v>39</v>
      </c>
      <c r="AI97">
        <v>7.2</v>
      </c>
    </row>
    <row r="98" spans="1:39" x14ac:dyDescent="0.2">
      <c r="A98" t="s">
        <v>143</v>
      </c>
      <c r="B98" t="s">
        <v>40</v>
      </c>
      <c r="C98" t="s">
        <v>41</v>
      </c>
      <c r="D98">
        <v>5</v>
      </c>
      <c r="E98">
        <v>37</v>
      </c>
      <c r="F98">
        <v>3.4</v>
      </c>
      <c r="G98">
        <v>0.5</v>
      </c>
      <c r="H98">
        <v>1</v>
      </c>
      <c r="I98">
        <v>1</v>
      </c>
      <c r="J98">
        <v>953</v>
      </c>
      <c r="K98">
        <v>4</v>
      </c>
      <c r="L98">
        <v>17</v>
      </c>
      <c r="M98">
        <v>0</v>
      </c>
      <c r="N98">
        <v>1</v>
      </c>
      <c r="O98">
        <v>35.4</v>
      </c>
      <c r="P98">
        <v>4.8</v>
      </c>
      <c r="Q98">
        <v>0</v>
      </c>
      <c r="R98">
        <v>1</v>
      </c>
      <c r="S98">
        <v>7.4</v>
      </c>
      <c r="T98">
        <v>0.53</v>
      </c>
      <c r="U98">
        <v>0.24</v>
      </c>
      <c r="V98">
        <v>0.77</v>
      </c>
      <c r="W98">
        <v>14.31</v>
      </c>
      <c r="X98">
        <v>11</v>
      </c>
      <c r="Y98" t="s">
        <v>1000</v>
      </c>
      <c r="Z98">
        <v>252</v>
      </c>
      <c r="AA98">
        <v>156</v>
      </c>
      <c r="AB98">
        <v>49</v>
      </c>
      <c r="AC98">
        <v>25</v>
      </c>
      <c r="AD98">
        <v>130</v>
      </c>
      <c r="AE98">
        <v>58</v>
      </c>
      <c r="AF98">
        <v>239</v>
      </c>
      <c r="AG98">
        <v>85</v>
      </c>
      <c r="AH98">
        <f>fpl_player_statistics_cleaned[[#This Row],[Total Points]] / fpl_player_statistics_cleaned[[#This Row],[Now Cost]]</f>
        <v>7.4</v>
      </c>
      <c r="AI98">
        <f>fpl_player_statistics_cleaned[[#This Row],[Goals Scored]] + fpl_player_statistics_cleaned[[#This Row],[Assists]]</f>
        <v>2</v>
      </c>
      <c r="AJ98">
        <f>fpl_player_statistics_cleaned[[#This Row],[Total Points]] / fpl_player_statistics_cleaned[[#This Row],[Starts]]</f>
        <v>3.3636363636363638</v>
      </c>
      <c r="AK98">
        <f>((fpl_player_statistics_cleaned[[#This Row],[Points Per Game]]) * fpl_player_statistics_cleaned[[#This Row],[Form]]) / fpl_player_statistics_cleaned[[#This Row],[Now Cost]]</f>
        <v>3.2640000000000002</v>
      </c>
      <c r="AL98">
        <f>fpl_player_statistics_cleaned[[#This Row],[Minutes]] / fpl_player_statistics_cleaned[[#This Row],[Total Points]]</f>
        <v>25.756756756756758</v>
      </c>
      <c r="AM9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120.76799999999999</v>
      </c>
    </row>
    <row r="99" spans="1:39" x14ac:dyDescent="0.2">
      <c r="A99" t="s">
        <v>144</v>
      </c>
      <c r="B99" t="s">
        <v>51</v>
      </c>
      <c r="C99" t="s">
        <v>41</v>
      </c>
      <c r="D99">
        <v>4.9000000000000004</v>
      </c>
      <c r="E99">
        <v>37</v>
      </c>
      <c r="F99">
        <v>3.7</v>
      </c>
      <c r="G99">
        <v>1.6</v>
      </c>
      <c r="H99">
        <v>2</v>
      </c>
      <c r="I99">
        <v>2</v>
      </c>
      <c r="J99">
        <v>570</v>
      </c>
      <c r="K99">
        <v>3</v>
      </c>
      <c r="L99">
        <v>4</v>
      </c>
      <c r="M99">
        <v>0</v>
      </c>
      <c r="N99">
        <v>0</v>
      </c>
      <c r="O99">
        <v>28.4</v>
      </c>
      <c r="P99">
        <v>3.2</v>
      </c>
      <c r="Q99">
        <v>0</v>
      </c>
      <c r="R99">
        <v>0.7</v>
      </c>
      <c r="S99">
        <v>7.6</v>
      </c>
      <c r="T99">
        <v>0.74</v>
      </c>
      <c r="U99">
        <v>0.38</v>
      </c>
      <c r="V99">
        <v>1.1200000000000001</v>
      </c>
      <c r="W99">
        <v>9.6</v>
      </c>
      <c r="X99">
        <v>6</v>
      </c>
      <c r="Y99" t="s">
        <v>1000</v>
      </c>
      <c r="Z99">
        <v>332</v>
      </c>
      <c r="AA99">
        <v>209</v>
      </c>
      <c r="AB99">
        <v>113</v>
      </c>
      <c r="AC99">
        <v>52</v>
      </c>
      <c r="AD99">
        <v>100</v>
      </c>
      <c r="AE99">
        <v>40</v>
      </c>
      <c r="AF99">
        <v>139</v>
      </c>
      <c r="AG99">
        <v>49</v>
      </c>
      <c r="AH99">
        <f>fpl_player_statistics_cleaned[[#This Row],[Total Points]] / fpl_player_statistics_cleaned[[#This Row],[Now Cost]]</f>
        <v>7.5510204081632644</v>
      </c>
      <c r="AI99">
        <f>fpl_player_statistics_cleaned[[#This Row],[Goals Scored]] + fpl_player_statistics_cleaned[[#This Row],[Assists]]</f>
        <v>4</v>
      </c>
      <c r="AJ99">
        <f>fpl_player_statistics_cleaned[[#This Row],[Total Points]] / fpl_player_statistics_cleaned[[#This Row],[Starts]]</f>
        <v>6.166666666666667</v>
      </c>
      <c r="AK99">
        <f>((fpl_player_statistics_cleaned[[#This Row],[Points Per Game]]) * fpl_player_statistics_cleaned[[#This Row],[Form]]) / fpl_player_statistics_cleaned[[#This Row],[Now Cost]]</f>
        <v>2.416326530612245</v>
      </c>
      <c r="AL99">
        <f>fpl_player_statistics_cleaned[[#This Row],[Minutes]] / fpl_player_statistics_cleaned[[#This Row],[Total Points]]</f>
        <v>15.405405405405405</v>
      </c>
      <c r="AM9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89.40408163265306</v>
      </c>
    </row>
    <row r="100" spans="1:39" hidden="1" x14ac:dyDescent="0.2">
      <c r="A100" t="s">
        <v>915</v>
      </c>
      <c r="B100" t="s">
        <v>37</v>
      </c>
      <c r="C100" t="s">
        <v>35</v>
      </c>
      <c r="D100">
        <v>8.9</v>
      </c>
      <c r="E100">
        <v>37</v>
      </c>
      <c r="F100">
        <v>3.7</v>
      </c>
      <c r="G100">
        <v>14.2</v>
      </c>
      <c r="H100">
        <v>4</v>
      </c>
      <c r="I100">
        <v>0</v>
      </c>
      <c r="J100">
        <v>801</v>
      </c>
      <c r="K100">
        <v>5</v>
      </c>
      <c r="L100">
        <v>3</v>
      </c>
      <c r="M100">
        <v>0</v>
      </c>
      <c r="N100">
        <v>4</v>
      </c>
      <c r="O100">
        <v>57.7</v>
      </c>
      <c r="P100">
        <v>2.8</v>
      </c>
      <c r="Q100">
        <v>1</v>
      </c>
      <c r="R100">
        <v>0.3</v>
      </c>
      <c r="S100">
        <v>4.2</v>
      </c>
      <c r="T100">
        <v>4.45</v>
      </c>
      <c r="U100">
        <v>0.66</v>
      </c>
      <c r="V100">
        <v>5.1100000000000003</v>
      </c>
      <c r="W100">
        <v>4.3899999999999997</v>
      </c>
      <c r="X100">
        <v>10</v>
      </c>
      <c r="Y100" t="s">
        <v>145</v>
      </c>
      <c r="Z100">
        <v>7</v>
      </c>
      <c r="AA100">
        <v>3</v>
      </c>
      <c r="AB100">
        <v>147</v>
      </c>
      <c r="AC100">
        <v>16</v>
      </c>
      <c r="AD100">
        <v>107</v>
      </c>
      <c r="AE100">
        <v>12</v>
      </c>
      <c r="AF100">
        <v>29</v>
      </c>
      <c r="AG100">
        <v>6</v>
      </c>
      <c r="AI100">
        <v>6.481481481481481</v>
      </c>
    </row>
    <row r="101" spans="1:39" x14ac:dyDescent="0.2">
      <c r="A101" t="s">
        <v>916</v>
      </c>
      <c r="B101" t="s">
        <v>47</v>
      </c>
      <c r="C101" t="s">
        <v>55</v>
      </c>
      <c r="D101">
        <v>4.8</v>
      </c>
      <c r="E101">
        <v>37</v>
      </c>
      <c r="F101">
        <v>3.4</v>
      </c>
      <c r="G101">
        <v>13.7</v>
      </c>
      <c r="H101">
        <v>0</v>
      </c>
      <c r="I101">
        <v>0</v>
      </c>
      <c r="J101">
        <v>904</v>
      </c>
      <c r="K101">
        <v>5</v>
      </c>
      <c r="L101">
        <v>11</v>
      </c>
      <c r="M101">
        <v>18</v>
      </c>
      <c r="N101">
        <v>1</v>
      </c>
      <c r="O101">
        <v>17.7</v>
      </c>
      <c r="P101">
        <v>4.5</v>
      </c>
      <c r="Q101">
        <v>0</v>
      </c>
      <c r="R101">
        <v>0.9</v>
      </c>
      <c r="S101">
        <v>7.7</v>
      </c>
      <c r="T101">
        <v>0</v>
      </c>
      <c r="U101">
        <v>0.01</v>
      </c>
      <c r="V101">
        <v>0.01</v>
      </c>
      <c r="W101">
        <v>12.05</v>
      </c>
      <c r="X101">
        <v>11</v>
      </c>
      <c r="Y101" t="s">
        <v>1000</v>
      </c>
      <c r="Z101">
        <v>357</v>
      </c>
      <c r="AA101">
        <v>15</v>
      </c>
      <c r="AB101">
        <v>61</v>
      </c>
      <c r="AC101">
        <v>3</v>
      </c>
      <c r="AD101">
        <v>126</v>
      </c>
      <c r="AE101">
        <v>13</v>
      </c>
      <c r="AF101">
        <v>31</v>
      </c>
      <c r="AG101">
        <v>3</v>
      </c>
      <c r="AH101">
        <f>fpl_player_statistics_cleaned[[#This Row],[Total Points]] / fpl_player_statistics_cleaned[[#This Row],[Now Cost]]</f>
        <v>7.7083333333333339</v>
      </c>
      <c r="AI101">
        <f>fpl_player_statistics_cleaned[[#This Row],[Goals Scored]] + fpl_player_statistics_cleaned[[#This Row],[Assists]]</f>
        <v>0</v>
      </c>
      <c r="AJ101">
        <f>fpl_player_statistics_cleaned[[#This Row],[Total Points]] / fpl_player_statistics_cleaned[[#This Row],[Starts]]</f>
        <v>3.3636363636363638</v>
      </c>
      <c r="AK101">
        <f>((fpl_player_statistics_cleaned[[#This Row],[Points Per Game]]) * fpl_player_statistics_cleaned[[#This Row],[Form]]) / fpl_player_statistics_cleaned[[#This Row],[Now Cost]]</f>
        <v>3.1875</v>
      </c>
      <c r="AL101">
        <f>fpl_player_statistics_cleaned[[#This Row],[Minutes]] / fpl_player_statistics_cleaned[[#This Row],[Total Points]]</f>
        <v>24.432432432432432</v>
      </c>
      <c r="AM10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117.9375</v>
      </c>
    </row>
    <row r="102" spans="1:39" x14ac:dyDescent="0.2">
      <c r="A102" t="s">
        <v>146</v>
      </c>
      <c r="B102" t="s">
        <v>72</v>
      </c>
      <c r="C102" t="s">
        <v>41</v>
      </c>
      <c r="D102">
        <v>6.1</v>
      </c>
      <c r="E102">
        <v>36</v>
      </c>
      <c r="F102">
        <v>3.6</v>
      </c>
      <c r="G102">
        <v>1.2</v>
      </c>
      <c r="H102">
        <v>2</v>
      </c>
      <c r="I102">
        <v>1</v>
      </c>
      <c r="J102">
        <v>566</v>
      </c>
      <c r="K102">
        <v>4</v>
      </c>
      <c r="L102">
        <v>5</v>
      </c>
      <c r="M102">
        <v>0</v>
      </c>
      <c r="N102">
        <v>2</v>
      </c>
      <c r="O102">
        <v>47.4</v>
      </c>
      <c r="P102">
        <v>4.8</v>
      </c>
      <c r="Q102">
        <v>0</v>
      </c>
      <c r="R102">
        <v>0.8</v>
      </c>
      <c r="S102">
        <v>5.9</v>
      </c>
      <c r="T102">
        <v>2.17</v>
      </c>
      <c r="U102">
        <v>0.92</v>
      </c>
      <c r="V102">
        <v>3.09</v>
      </c>
      <c r="W102">
        <v>6.13</v>
      </c>
      <c r="X102">
        <v>7</v>
      </c>
      <c r="Y102" t="s">
        <v>1000</v>
      </c>
      <c r="Z102">
        <v>82</v>
      </c>
      <c r="AA102">
        <v>55</v>
      </c>
      <c r="AB102">
        <v>56</v>
      </c>
      <c r="AC102">
        <v>29</v>
      </c>
      <c r="AD102">
        <v>113</v>
      </c>
      <c r="AE102">
        <v>48</v>
      </c>
      <c r="AF102">
        <v>164</v>
      </c>
      <c r="AG102">
        <v>58</v>
      </c>
      <c r="AH102">
        <f>fpl_player_statistics_cleaned[[#This Row],[Total Points]] / fpl_player_statistics_cleaned[[#This Row],[Now Cost]]</f>
        <v>5.9016393442622954</v>
      </c>
      <c r="AI102">
        <f>fpl_player_statistics_cleaned[[#This Row],[Goals Scored]] + fpl_player_statistics_cleaned[[#This Row],[Assists]]</f>
        <v>3</v>
      </c>
      <c r="AJ102">
        <f>fpl_player_statistics_cleaned[[#This Row],[Total Points]] / fpl_player_statistics_cleaned[[#This Row],[Starts]]</f>
        <v>5.1428571428571432</v>
      </c>
      <c r="AK102">
        <f>((fpl_player_statistics_cleaned[[#This Row],[Points Per Game]]) * fpl_player_statistics_cleaned[[#This Row],[Form]]) / fpl_player_statistics_cleaned[[#This Row],[Now Cost]]</f>
        <v>2.8327868852459019</v>
      </c>
      <c r="AL102">
        <f>fpl_player_statistics_cleaned[[#This Row],[Minutes]] / fpl_player_statistics_cleaned[[#This Row],[Total Points]]</f>
        <v>15.722222222222221</v>
      </c>
      <c r="AM10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101.98032786885246</v>
      </c>
    </row>
    <row r="103" spans="1:39" x14ac:dyDescent="0.2">
      <c r="A103" t="s">
        <v>147</v>
      </c>
      <c r="B103" t="s">
        <v>65</v>
      </c>
      <c r="C103" t="s">
        <v>38</v>
      </c>
      <c r="D103">
        <v>4</v>
      </c>
      <c r="E103">
        <v>36</v>
      </c>
      <c r="F103">
        <v>3.3</v>
      </c>
      <c r="G103">
        <v>1</v>
      </c>
      <c r="H103">
        <v>0</v>
      </c>
      <c r="I103">
        <v>4</v>
      </c>
      <c r="J103">
        <v>977</v>
      </c>
      <c r="K103">
        <v>2</v>
      </c>
      <c r="L103">
        <v>19</v>
      </c>
      <c r="M103">
        <v>0</v>
      </c>
      <c r="N103">
        <v>0</v>
      </c>
      <c r="O103">
        <v>45.5</v>
      </c>
      <c r="P103">
        <v>3.8</v>
      </c>
      <c r="Q103">
        <v>0</v>
      </c>
      <c r="R103">
        <v>1</v>
      </c>
      <c r="S103">
        <v>9</v>
      </c>
      <c r="T103">
        <v>0.14000000000000001</v>
      </c>
      <c r="U103">
        <v>1.37</v>
      </c>
      <c r="V103">
        <v>1.51</v>
      </c>
      <c r="W103">
        <v>22.68</v>
      </c>
      <c r="X103">
        <v>11</v>
      </c>
      <c r="Y103" t="s">
        <v>1000</v>
      </c>
      <c r="Z103">
        <v>665</v>
      </c>
      <c r="AA103">
        <v>183</v>
      </c>
      <c r="AB103">
        <v>87</v>
      </c>
      <c r="AC103">
        <v>31</v>
      </c>
      <c r="AD103">
        <v>134</v>
      </c>
      <c r="AE103">
        <v>47</v>
      </c>
      <c r="AF103">
        <v>185</v>
      </c>
      <c r="AG103">
        <v>69</v>
      </c>
      <c r="AH103">
        <f>fpl_player_statistics_cleaned[[#This Row],[Total Points]] / fpl_player_statistics_cleaned[[#This Row],[Now Cost]]</f>
        <v>9</v>
      </c>
      <c r="AI103">
        <f>fpl_player_statistics_cleaned[[#This Row],[Goals Scored]] + fpl_player_statistics_cleaned[[#This Row],[Assists]]</f>
        <v>4</v>
      </c>
      <c r="AJ103">
        <f>fpl_player_statistics_cleaned[[#This Row],[Total Points]] / fpl_player_statistics_cleaned[[#This Row],[Starts]]</f>
        <v>3.2727272727272729</v>
      </c>
      <c r="AK103">
        <f>((fpl_player_statistics_cleaned[[#This Row],[Points Per Game]]) * fpl_player_statistics_cleaned[[#This Row],[Form]]) / fpl_player_statistics_cleaned[[#This Row],[Now Cost]]</f>
        <v>3.1349999999999998</v>
      </c>
      <c r="AL103">
        <f>fpl_player_statistics_cleaned[[#This Row],[Minutes]] / fpl_player_statistics_cleaned[[#This Row],[Total Points]]</f>
        <v>27.138888888888889</v>
      </c>
      <c r="AM10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112.85999999999999</v>
      </c>
    </row>
    <row r="104" spans="1:39" x14ac:dyDescent="0.2">
      <c r="A104" t="s">
        <v>148</v>
      </c>
      <c r="B104" t="s">
        <v>81</v>
      </c>
      <c r="C104" t="s">
        <v>41</v>
      </c>
      <c r="D104">
        <v>4.9000000000000004</v>
      </c>
      <c r="E104">
        <v>36</v>
      </c>
      <c r="F104">
        <v>4</v>
      </c>
      <c r="G104">
        <v>0.3</v>
      </c>
      <c r="H104">
        <v>0</v>
      </c>
      <c r="I104">
        <v>3</v>
      </c>
      <c r="J104">
        <v>639</v>
      </c>
      <c r="K104">
        <v>2</v>
      </c>
      <c r="L104">
        <v>8</v>
      </c>
      <c r="M104">
        <v>0</v>
      </c>
      <c r="N104">
        <v>2</v>
      </c>
      <c r="O104">
        <v>33.5</v>
      </c>
      <c r="P104">
        <v>6</v>
      </c>
      <c r="Q104">
        <v>0</v>
      </c>
      <c r="R104">
        <v>1.2</v>
      </c>
      <c r="S104">
        <v>7.3</v>
      </c>
      <c r="T104">
        <v>0.15</v>
      </c>
      <c r="U104">
        <v>0.97</v>
      </c>
      <c r="V104">
        <v>1.1200000000000001</v>
      </c>
      <c r="W104">
        <v>6.57</v>
      </c>
      <c r="X104">
        <v>7</v>
      </c>
      <c r="Y104" t="s">
        <v>1000</v>
      </c>
      <c r="Z104">
        <v>329</v>
      </c>
      <c r="AA104">
        <v>207</v>
      </c>
      <c r="AB104">
        <v>18</v>
      </c>
      <c r="AC104">
        <v>7</v>
      </c>
      <c r="AD104">
        <v>79</v>
      </c>
      <c r="AE104">
        <v>33</v>
      </c>
      <c r="AF104">
        <v>310</v>
      </c>
      <c r="AG104">
        <v>108</v>
      </c>
      <c r="AH104">
        <f>fpl_player_statistics_cleaned[[#This Row],[Total Points]] / fpl_player_statistics_cleaned[[#This Row],[Now Cost]]</f>
        <v>7.3469387755102034</v>
      </c>
      <c r="AI104">
        <f>fpl_player_statistics_cleaned[[#This Row],[Goals Scored]] + fpl_player_statistics_cleaned[[#This Row],[Assists]]</f>
        <v>3</v>
      </c>
      <c r="AJ104">
        <f>fpl_player_statistics_cleaned[[#This Row],[Total Points]] / fpl_player_statistics_cleaned[[#This Row],[Starts]]</f>
        <v>5.1428571428571432</v>
      </c>
      <c r="AK104">
        <f>((fpl_player_statistics_cleaned[[#This Row],[Points Per Game]]) * fpl_player_statistics_cleaned[[#This Row],[Form]]) / fpl_player_statistics_cleaned[[#This Row],[Now Cost]]</f>
        <v>4.8979591836734686</v>
      </c>
      <c r="AL104">
        <f>fpl_player_statistics_cleaned[[#This Row],[Minutes]] / fpl_player_statistics_cleaned[[#This Row],[Total Points]]</f>
        <v>17.75</v>
      </c>
      <c r="AM10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176.32653061224488</v>
      </c>
    </row>
    <row r="105" spans="1:39" x14ac:dyDescent="0.2">
      <c r="A105" t="s">
        <v>149</v>
      </c>
      <c r="B105" t="s">
        <v>40</v>
      </c>
      <c r="C105" t="s">
        <v>41</v>
      </c>
      <c r="D105">
        <v>5</v>
      </c>
      <c r="E105">
        <v>36</v>
      </c>
      <c r="F105">
        <v>3.3</v>
      </c>
      <c r="G105">
        <v>0.3</v>
      </c>
      <c r="H105">
        <v>1</v>
      </c>
      <c r="I105">
        <v>1</v>
      </c>
      <c r="J105">
        <v>727</v>
      </c>
      <c r="K105">
        <v>4</v>
      </c>
      <c r="L105">
        <v>10</v>
      </c>
      <c r="M105">
        <v>0</v>
      </c>
      <c r="N105">
        <v>2</v>
      </c>
      <c r="O105">
        <v>30</v>
      </c>
      <c r="P105">
        <v>3</v>
      </c>
      <c r="Q105">
        <v>0</v>
      </c>
      <c r="R105">
        <v>0.6</v>
      </c>
      <c r="S105">
        <v>7.2</v>
      </c>
      <c r="T105">
        <v>0.56999999999999995</v>
      </c>
      <c r="U105">
        <v>0.38</v>
      </c>
      <c r="V105">
        <v>0.95</v>
      </c>
      <c r="W105">
        <v>9.1999999999999993</v>
      </c>
      <c r="X105">
        <v>10</v>
      </c>
      <c r="Y105" t="s">
        <v>1000</v>
      </c>
      <c r="Z105">
        <v>278</v>
      </c>
      <c r="AA105">
        <v>172</v>
      </c>
      <c r="AB105">
        <v>127</v>
      </c>
      <c r="AC105">
        <v>58</v>
      </c>
      <c r="AD105">
        <v>137</v>
      </c>
      <c r="AE105">
        <v>62</v>
      </c>
      <c r="AF105">
        <v>307</v>
      </c>
      <c r="AG105">
        <v>106</v>
      </c>
      <c r="AH105">
        <f>fpl_player_statistics_cleaned[[#This Row],[Total Points]] / fpl_player_statistics_cleaned[[#This Row],[Now Cost]]</f>
        <v>7.2</v>
      </c>
      <c r="AI105">
        <f>fpl_player_statistics_cleaned[[#This Row],[Goals Scored]] + fpl_player_statistics_cleaned[[#This Row],[Assists]]</f>
        <v>2</v>
      </c>
      <c r="AJ105">
        <f>fpl_player_statistics_cleaned[[#This Row],[Total Points]] / fpl_player_statistics_cleaned[[#This Row],[Starts]]</f>
        <v>3.6</v>
      </c>
      <c r="AK105">
        <f>((fpl_player_statistics_cleaned[[#This Row],[Points Per Game]]) * fpl_player_statistics_cleaned[[#This Row],[Form]]) / fpl_player_statistics_cleaned[[#This Row],[Now Cost]]</f>
        <v>1.9799999999999998</v>
      </c>
      <c r="AL105">
        <f>fpl_player_statistics_cleaned[[#This Row],[Minutes]] / fpl_player_statistics_cleaned[[#This Row],[Total Points]]</f>
        <v>20.194444444444443</v>
      </c>
      <c r="AM10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71.28</v>
      </c>
    </row>
    <row r="106" spans="1:39" x14ac:dyDescent="0.2">
      <c r="A106" t="s">
        <v>150</v>
      </c>
      <c r="B106" t="s">
        <v>51</v>
      </c>
      <c r="C106" t="s">
        <v>41</v>
      </c>
      <c r="D106">
        <v>5.3</v>
      </c>
      <c r="E106">
        <v>35</v>
      </c>
      <c r="F106">
        <v>3.5</v>
      </c>
      <c r="G106">
        <v>0.4</v>
      </c>
      <c r="H106">
        <v>1</v>
      </c>
      <c r="I106">
        <v>1</v>
      </c>
      <c r="J106">
        <v>655</v>
      </c>
      <c r="K106">
        <v>2</v>
      </c>
      <c r="L106">
        <v>9</v>
      </c>
      <c r="M106">
        <v>0</v>
      </c>
      <c r="N106">
        <v>3</v>
      </c>
      <c r="O106">
        <v>28.1</v>
      </c>
      <c r="P106">
        <v>5.2</v>
      </c>
      <c r="Q106">
        <v>1</v>
      </c>
      <c r="R106">
        <v>1</v>
      </c>
      <c r="S106">
        <v>6.6</v>
      </c>
      <c r="T106">
        <v>0.34</v>
      </c>
      <c r="U106">
        <v>0.4</v>
      </c>
      <c r="V106">
        <v>0.74</v>
      </c>
      <c r="W106">
        <v>10.84</v>
      </c>
      <c r="X106">
        <v>8</v>
      </c>
      <c r="Y106" t="s">
        <v>1000</v>
      </c>
      <c r="Z106">
        <v>197</v>
      </c>
      <c r="AA106">
        <v>123</v>
      </c>
      <c r="AB106">
        <v>36</v>
      </c>
      <c r="AC106">
        <v>17</v>
      </c>
      <c r="AD106">
        <v>123</v>
      </c>
      <c r="AE106">
        <v>55</v>
      </c>
      <c r="AF106">
        <v>270</v>
      </c>
      <c r="AG106">
        <v>94</v>
      </c>
      <c r="AH106">
        <f>fpl_player_statistics_cleaned[[#This Row],[Total Points]] / fpl_player_statistics_cleaned[[#This Row],[Now Cost]]</f>
        <v>6.6037735849056602</v>
      </c>
      <c r="AI106">
        <f>fpl_player_statistics_cleaned[[#This Row],[Goals Scored]] + fpl_player_statistics_cleaned[[#This Row],[Assists]]</f>
        <v>2</v>
      </c>
      <c r="AJ106">
        <f>fpl_player_statistics_cleaned[[#This Row],[Total Points]] / fpl_player_statistics_cleaned[[#This Row],[Starts]]</f>
        <v>4.375</v>
      </c>
      <c r="AK106">
        <f>((fpl_player_statistics_cleaned[[#This Row],[Points Per Game]]) * fpl_player_statistics_cleaned[[#This Row],[Form]]) / fpl_player_statistics_cleaned[[#This Row],[Now Cost]]</f>
        <v>3.4339622641509435</v>
      </c>
      <c r="AL106">
        <f>fpl_player_statistics_cleaned[[#This Row],[Minutes]] / fpl_player_statistics_cleaned[[#This Row],[Total Points]]</f>
        <v>18.714285714285715</v>
      </c>
      <c r="AM10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120.18867924528303</v>
      </c>
    </row>
    <row r="107" spans="1:39" x14ac:dyDescent="0.2">
      <c r="A107" t="s">
        <v>151</v>
      </c>
      <c r="B107" t="s">
        <v>70</v>
      </c>
      <c r="C107" t="s">
        <v>41</v>
      </c>
      <c r="D107">
        <v>6.8</v>
      </c>
      <c r="E107">
        <v>35</v>
      </c>
      <c r="F107">
        <v>3.2</v>
      </c>
      <c r="G107">
        <v>4.9000000000000004</v>
      </c>
      <c r="H107">
        <v>1</v>
      </c>
      <c r="I107">
        <v>2</v>
      </c>
      <c r="J107">
        <v>976</v>
      </c>
      <c r="K107">
        <v>4</v>
      </c>
      <c r="L107">
        <v>10</v>
      </c>
      <c r="M107">
        <v>0</v>
      </c>
      <c r="N107">
        <v>0</v>
      </c>
      <c r="O107">
        <v>45</v>
      </c>
      <c r="P107">
        <v>3.2</v>
      </c>
      <c r="Q107">
        <v>0</v>
      </c>
      <c r="R107">
        <v>0.5</v>
      </c>
      <c r="S107">
        <v>5.0999999999999996</v>
      </c>
      <c r="T107">
        <v>0.66</v>
      </c>
      <c r="U107">
        <v>0.96</v>
      </c>
      <c r="V107">
        <v>1.62</v>
      </c>
      <c r="W107">
        <v>14.42</v>
      </c>
      <c r="X107">
        <v>11</v>
      </c>
      <c r="Y107" t="s">
        <v>1000</v>
      </c>
      <c r="Z107">
        <v>43</v>
      </c>
      <c r="AA107">
        <v>27</v>
      </c>
      <c r="AB107">
        <v>119</v>
      </c>
      <c r="AC107">
        <v>55</v>
      </c>
      <c r="AD107">
        <v>151</v>
      </c>
      <c r="AE107">
        <v>69</v>
      </c>
      <c r="AF107">
        <v>72</v>
      </c>
      <c r="AG107">
        <v>22</v>
      </c>
      <c r="AH107">
        <f>fpl_player_statistics_cleaned[[#This Row],[Total Points]] / fpl_player_statistics_cleaned[[#This Row],[Now Cost]]</f>
        <v>5.1470588235294121</v>
      </c>
      <c r="AI107">
        <f>fpl_player_statistics_cleaned[[#This Row],[Goals Scored]] + fpl_player_statistics_cleaned[[#This Row],[Assists]]</f>
        <v>3</v>
      </c>
      <c r="AJ107">
        <f>fpl_player_statistics_cleaned[[#This Row],[Total Points]] / fpl_player_statistics_cleaned[[#This Row],[Starts]]</f>
        <v>3.1818181818181817</v>
      </c>
      <c r="AK107">
        <f>((fpl_player_statistics_cleaned[[#This Row],[Points Per Game]]) * fpl_player_statistics_cleaned[[#This Row],[Form]]) / fpl_player_statistics_cleaned[[#This Row],[Now Cost]]</f>
        <v>1.5058823529411769</v>
      </c>
      <c r="AL107">
        <f>fpl_player_statistics_cleaned[[#This Row],[Minutes]] / fpl_player_statistics_cleaned[[#This Row],[Total Points]]</f>
        <v>27.885714285714286</v>
      </c>
      <c r="AM10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52.705882352941188</v>
      </c>
    </row>
    <row r="108" spans="1:39" x14ac:dyDescent="0.2">
      <c r="A108" t="s">
        <v>152</v>
      </c>
      <c r="B108" t="s">
        <v>153</v>
      </c>
      <c r="C108" t="s">
        <v>41</v>
      </c>
      <c r="D108">
        <v>5.4</v>
      </c>
      <c r="E108">
        <v>35</v>
      </c>
      <c r="F108">
        <v>3.2</v>
      </c>
      <c r="G108">
        <v>0.1</v>
      </c>
      <c r="H108">
        <v>1</v>
      </c>
      <c r="I108">
        <v>2</v>
      </c>
      <c r="J108">
        <v>802</v>
      </c>
      <c r="K108">
        <v>0</v>
      </c>
      <c r="L108">
        <v>18</v>
      </c>
      <c r="M108">
        <v>0</v>
      </c>
      <c r="N108">
        <v>1</v>
      </c>
      <c r="O108">
        <v>38.799999999999997</v>
      </c>
      <c r="P108">
        <v>4</v>
      </c>
      <c r="Q108">
        <v>0</v>
      </c>
      <c r="R108">
        <v>0.7</v>
      </c>
      <c r="S108">
        <v>6.5</v>
      </c>
      <c r="T108">
        <v>1.46</v>
      </c>
      <c r="U108">
        <v>0.36</v>
      </c>
      <c r="V108">
        <v>1.82</v>
      </c>
      <c r="W108">
        <v>12.45</v>
      </c>
      <c r="X108">
        <v>8</v>
      </c>
      <c r="Y108" t="s">
        <v>1000</v>
      </c>
      <c r="Z108">
        <v>172</v>
      </c>
      <c r="AA108">
        <v>106</v>
      </c>
      <c r="AB108">
        <v>79</v>
      </c>
      <c r="AC108">
        <v>39</v>
      </c>
      <c r="AD108">
        <v>148</v>
      </c>
      <c r="AE108">
        <v>66</v>
      </c>
      <c r="AF108">
        <v>471</v>
      </c>
      <c r="AG108">
        <v>160</v>
      </c>
      <c r="AH108">
        <f>fpl_player_statistics_cleaned[[#This Row],[Total Points]] / fpl_player_statistics_cleaned[[#This Row],[Now Cost]]</f>
        <v>6.481481481481481</v>
      </c>
      <c r="AI108">
        <f>fpl_player_statistics_cleaned[[#This Row],[Goals Scored]] + fpl_player_statistics_cleaned[[#This Row],[Assists]]</f>
        <v>3</v>
      </c>
      <c r="AJ108">
        <f>fpl_player_statistics_cleaned[[#This Row],[Total Points]] / fpl_player_statistics_cleaned[[#This Row],[Starts]]</f>
        <v>4.375</v>
      </c>
      <c r="AK108">
        <f>((fpl_player_statistics_cleaned[[#This Row],[Points Per Game]]) * fpl_player_statistics_cleaned[[#This Row],[Form]]) / fpl_player_statistics_cleaned[[#This Row],[Now Cost]]</f>
        <v>2.3703703703703702</v>
      </c>
      <c r="AL108">
        <f>fpl_player_statistics_cleaned[[#This Row],[Minutes]] / fpl_player_statistics_cleaned[[#This Row],[Total Points]]</f>
        <v>22.914285714285715</v>
      </c>
      <c r="AM10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82.962962962962962</v>
      </c>
    </row>
    <row r="109" spans="1:39" x14ac:dyDescent="0.2">
      <c r="A109" t="s">
        <v>154</v>
      </c>
      <c r="B109" t="s">
        <v>57</v>
      </c>
      <c r="C109" t="s">
        <v>41</v>
      </c>
      <c r="D109">
        <v>4.9000000000000004</v>
      </c>
      <c r="E109">
        <v>35</v>
      </c>
      <c r="F109">
        <v>3.5</v>
      </c>
      <c r="G109">
        <v>2.8</v>
      </c>
      <c r="H109">
        <v>1</v>
      </c>
      <c r="I109">
        <v>2</v>
      </c>
      <c r="J109">
        <v>885</v>
      </c>
      <c r="K109">
        <v>3</v>
      </c>
      <c r="L109">
        <v>12</v>
      </c>
      <c r="M109">
        <v>0</v>
      </c>
      <c r="N109">
        <v>4</v>
      </c>
      <c r="O109">
        <v>50.2</v>
      </c>
      <c r="P109">
        <v>3.8</v>
      </c>
      <c r="Q109">
        <v>1</v>
      </c>
      <c r="R109">
        <v>0.8</v>
      </c>
      <c r="S109">
        <v>7.1</v>
      </c>
      <c r="T109">
        <v>0.83</v>
      </c>
      <c r="U109">
        <v>2.4</v>
      </c>
      <c r="V109">
        <v>3.23</v>
      </c>
      <c r="W109">
        <v>13.31</v>
      </c>
      <c r="X109">
        <v>10</v>
      </c>
      <c r="Y109" t="s">
        <v>1000</v>
      </c>
      <c r="Z109">
        <v>308</v>
      </c>
      <c r="AA109">
        <v>195</v>
      </c>
      <c r="AB109">
        <v>92</v>
      </c>
      <c r="AC109">
        <v>42</v>
      </c>
      <c r="AD109">
        <v>119</v>
      </c>
      <c r="AE109">
        <v>53</v>
      </c>
      <c r="AF109">
        <v>105</v>
      </c>
      <c r="AG109">
        <v>36</v>
      </c>
      <c r="AH109">
        <f>fpl_player_statistics_cleaned[[#This Row],[Total Points]] / fpl_player_statistics_cleaned[[#This Row],[Now Cost]]</f>
        <v>7.1428571428571423</v>
      </c>
      <c r="AI109">
        <f>fpl_player_statistics_cleaned[[#This Row],[Goals Scored]] + fpl_player_statistics_cleaned[[#This Row],[Assists]]</f>
        <v>3</v>
      </c>
      <c r="AJ109">
        <f>fpl_player_statistics_cleaned[[#This Row],[Total Points]] / fpl_player_statistics_cleaned[[#This Row],[Starts]]</f>
        <v>3.5</v>
      </c>
      <c r="AK109">
        <f>((fpl_player_statistics_cleaned[[#This Row],[Points Per Game]]) * fpl_player_statistics_cleaned[[#This Row],[Form]]) / fpl_player_statistics_cleaned[[#This Row],[Now Cost]]</f>
        <v>2.714285714285714</v>
      </c>
      <c r="AL109">
        <f>fpl_player_statistics_cleaned[[#This Row],[Minutes]] / fpl_player_statistics_cleaned[[#This Row],[Total Points]]</f>
        <v>25.285714285714285</v>
      </c>
      <c r="AM10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95</v>
      </c>
    </row>
    <row r="110" spans="1:39" x14ac:dyDescent="0.2">
      <c r="A110" t="s">
        <v>917</v>
      </c>
      <c r="B110" t="s">
        <v>65</v>
      </c>
      <c r="C110" t="s">
        <v>55</v>
      </c>
      <c r="D110">
        <v>4</v>
      </c>
      <c r="E110">
        <v>35</v>
      </c>
      <c r="F110">
        <v>3.2</v>
      </c>
      <c r="G110">
        <v>34.4</v>
      </c>
      <c r="H110">
        <v>0</v>
      </c>
      <c r="I110">
        <v>0</v>
      </c>
      <c r="J110">
        <v>990</v>
      </c>
      <c r="K110">
        <v>2</v>
      </c>
      <c r="L110">
        <v>22</v>
      </c>
      <c r="M110">
        <v>46</v>
      </c>
      <c r="N110">
        <v>2</v>
      </c>
      <c r="O110">
        <v>34.6</v>
      </c>
      <c r="P110">
        <v>3.8</v>
      </c>
      <c r="Q110">
        <v>1</v>
      </c>
      <c r="R110">
        <v>1</v>
      </c>
      <c r="S110">
        <v>8.8000000000000007</v>
      </c>
      <c r="T110">
        <v>0</v>
      </c>
      <c r="U110">
        <v>0</v>
      </c>
      <c r="V110">
        <v>0</v>
      </c>
      <c r="W110">
        <v>24.26</v>
      </c>
      <c r="X110">
        <v>11</v>
      </c>
      <c r="Y110" t="s">
        <v>1000</v>
      </c>
      <c r="Z110">
        <v>618</v>
      </c>
      <c r="AA110">
        <v>41</v>
      </c>
      <c r="AB110">
        <v>86</v>
      </c>
      <c r="AC110">
        <v>7</v>
      </c>
      <c r="AD110">
        <v>142</v>
      </c>
      <c r="AE110">
        <v>15</v>
      </c>
      <c r="AF110">
        <v>6</v>
      </c>
      <c r="AG110">
        <v>1</v>
      </c>
      <c r="AH110">
        <f>fpl_player_statistics_cleaned[[#This Row],[Total Points]] / fpl_player_statistics_cleaned[[#This Row],[Now Cost]]</f>
        <v>8.75</v>
      </c>
      <c r="AI110">
        <f>fpl_player_statistics_cleaned[[#This Row],[Goals Scored]] + fpl_player_statistics_cleaned[[#This Row],[Assists]]</f>
        <v>0</v>
      </c>
      <c r="AJ110">
        <f>fpl_player_statistics_cleaned[[#This Row],[Total Points]] / fpl_player_statistics_cleaned[[#This Row],[Starts]]</f>
        <v>3.1818181818181817</v>
      </c>
      <c r="AK110">
        <f>((fpl_player_statistics_cleaned[[#This Row],[Points Per Game]]) * fpl_player_statistics_cleaned[[#This Row],[Form]]) / fpl_player_statistics_cleaned[[#This Row],[Now Cost]]</f>
        <v>3.04</v>
      </c>
      <c r="AL110">
        <f>fpl_player_statistics_cleaned[[#This Row],[Minutes]] / fpl_player_statistics_cleaned[[#This Row],[Total Points]]</f>
        <v>28.285714285714285</v>
      </c>
      <c r="AM11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106.4</v>
      </c>
    </row>
    <row r="111" spans="1:39" x14ac:dyDescent="0.2">
      <c r="A111" t="s">
        <v>155</v>
      </c>
      <c r="B111" t="s">
        <v>92</v>
      </c>
      <c r="C111" t="s">
        <v>41</v>
      </c>
      <c r="D111">
        <v>5.2</v>
      </c>
      <c r="E111">
        <v>34</v>
      </c>
      <c r="F111">
        <v>3.4</v>
      </c>
      <c r="G111">
        <v>0.4</v>
      </c>
      <c r="H111">
        <v>2</v>
      </c>
      <c r="I111">
        <v>1</v>
      </c>
      <c r="J111">
        <v>652</v>
      </c>
      <c r="K111">
        <v>2</v>
      </c>
      <c r="L111">
        <v>7</v>
      </c>
      <c r="M111">
        <v>0</v>
      </c>
      <c r="N111">
        <v>4</v>
      </c>
      <c r="O111">
        <v>39.5</v>
      </c>
      <c r="P111">
        <v>3.2</v>
      </c>
      <c r="Q111">
        <v>0</v>
      </c>
      <c r="R111">
        <v>0.6</v>
      </c>
      <c r="S111">
        <v>6.5</v>
      </c>
      <c r="T111">
        <v>1.1399999999999999</v>
      </c>
      <c r="U111">
        <v>0.45</v>
      </c>
      <c r="V111">
        <v>1.59</v>
      </c>
      <c r="W111">
        <v>6.93</v>
      </c>
      <c r="X111">
        <v>8</v>
      </c>
      <c r="Y111" t="s">
        <v>1000</v>
      </c>
      <c r="Z111">
        <v>214</v>
      </c>
      <c r="AA111">
        <v>133</v>
      </c>
      <c r="AB111">
        <v>115</v>
      </c>
      <c r="AC111">
        <v>53</v>
      </c>
      <c r="AD111">
        <v>131</v>
      </c>
      <c r="AE111">
        <v>59</v>
      </c>
      <c r="AF111">
        <v>279</v>
      </c>
      <c r="AG111">
        <v>99</v>
      </c>
      <c r="AH111">
        <f>fpl_player_statistics_cleaned[[#This Row],[Total Points]] / fpl_player_statistics_cleaned[[#This Row],[Now Cost]]</f>
        <v>6.5384615384615383</v>
      </c>
      <c r="AI111">
        <f>fpl_player_statistics_cleaned[[#This Row],[Goals Scored]] + fpl_player_statistics_cleaned[[#This Row],[Assists]]</f>
        <v>3</v>
      </c>
      <c r="AJ111">
        <f>fpl_player_statistics_cleaned[[#This Row],[Total Points]] / fpl_player_statistics_cleaned[[#This Row],[Starts]]</f>
        <v>4.25</v>
      </c>
      <c r="AK111">
        <f>((fpl_player_statistics_cleaned[[#This Row],[Points Per Game]]) * fpl_player_statistics_cleaned[[#This Row],[Form]]) / fpl_player_statistics_cleaned[[#This Row],[Now Cost]]</f>
        <v>2.0923076923076924</v>
      </c>
      <c r="AL111">
        <f>fpl_player_statistics_cleaned[[#This Row],[Minutes]] / fpl_player_statistics_cleaned[[#This Row],[Total Points]]</f>
        <v>19.176470588235293</v>
      </c>
      <c r="AM11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71.138461538461542</v>
      </c>
    </row>
    <row r="112" spans="1:39" x14ac:dyDescent="0.2">
      <c r="A112" t="s">
        <v>918</v>
      </c>
      <c r="B112" t="s">
        <v>54</v>
      </c>
      <c r="C112" t="s">
        <v>41</v>
      </c>
      <c r="D112">
        <v>4.9000000000000004</v>
      </c>
      <c r="E112">
        <v>34</v>
      </c>
      <c r="F112">
        <v>3.4</v>
      </c>
      <c r="G112">
        <v>0.4</v>
      </c>
      <c r="H112">
        <v>1</v>
      </c>
      <c r="I112">
        <v>1</v>
      </c>
      <c r="J112">
        <v>692</v>
      </c>
      <c r="K112">
        <v>2</v>
      </c>
      <c r="L112">
        <v>8</v>
      </c>
      <c r="M112">
        <v>0</v>
      </c>
      <c r="N112">
        <v>3</v>
      </c>
      <c r="O112">
        <v>35.6</v>
      </c>
      <c r="P112">
        <v>3.5</v>
      </c>
      <c r="Q112">
        <v>1</v>
      </c>
      <c r="R112">
        <v>0.7</v>
      </c>
      <c r="S112">
        <v>6.9</v>
      </c>
      <c r="T112">
        <v>0.99</v>
      </c>
      <c r="U112">
        <v>0.46</v>
      </c>
      <c r="V112">
        <v>1.45</v>
      </c>
      <c r="W112">
        <v>9.18</v>
      </c>
      <c r="X112">
        <v>8</v>
      </c>
      <c r="Y112" t="s">
        <v>1000</v>
      </c>
      <c r="Z112">
        <v>334</v>
      </c>
      <c r="AA112">
        <v>210</v>
      </c>
      <c r="AB112">
        <v>101</v>
      </c>
      <c r="AC112">
        <v>47</v>
      </c>
      <c r="AD112">
        <v>129</v>
      </c>
      <c r="AE112">
        <v>57</v>
      </c>
      <c r="AF112">
        <v>278</v>
      </c>
      <c r="AG112">
        <v>98</v>
      </c>
      <c r="AH112">
        <f>fpl_player_statistics_cleaned[[#This Row],[Total Points]] / fpl_player_statistics_cleaned[[#This Row],[Now Cost]]</f>
        <v>6.9387755102040813</v>
      </c>
      <c r="AI112">
        <f>fpl_player_statistics_cleaned[[#This Row],[Goals Scored]] + fpl_player_statistics_cleaned[[#This Row],[Assists]]</f>
        <v>2</v>
      </c>
      <c r="AJ112">
        <f>fpl_player_statistics_cleaned[[#This Row],[Total Points]] / fpl_player_statistics_cleaned[[#This Row],[Starts]]</f>
        <v>4.25</v>
      </c>
      <c r="AK112">
        <f>((fpl_player_statistics_cleaned[[#This Row],[Points Per Game]]) * fpl_player_statistics_cleaned[[#This Row],[Form]]) / fpl_player_statistics_cleaned[[#This Row],[Now Cost]]</f>
        <v>2.4285714285714284</v>
      </c>
      <c r="AL112">
        <f>fpl_player_statistics_cleaned[[#This Row],[Minutes]] / fpl_player_statistics_cleaned[[#This Row],[Total Points]]</f>
        <v>20.352941176470587</v>
      </c>
      <c r="AM11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82.571428571428569</v>
      </c>
    </row>
    <row r="113" spans="1:39" x14ac:dyDescent="0.2">
      <c r="A113" t="s">
        <v>156</v>
      </c>
      <c r="B113" t="s">
        <v>46</v>
      </c>
      <c r="C113" t="s">
        <v>38</v>
      </c>
      <c r="D113">
        <v>4.5</v>
      </c>
      <c r="E113">
        <v>34</v>
      </c>
      <c r="F113">
        <v>3.1</v>
      </c>
      <c r="G113">
        <v>0.4</v>
      </c>
      <c r="H113">
        <v>0</v>
      </c>
      <c r="I113">
        <v>1</v>
      </c>
      <c r="J113">
        <v>952</v>
      </c>
      <c r="K113">
        <v>2</v>
      </c>
      <c r="L113">
        <v>16</v>
      </c>
      <c r="M113">
        <v>0</v>
      </c>
      <c r="N113">
        <v>5</v>
      </c>
      <c r="O113">
        <v>41.8</v>
      </c>
      <c r="P113">
        <v>3.8</v>
      </c>
      <c r="Q113">
        <v>0</v>
      </c>
      <c r="R113">
        <v>0.8</v>
      </c>
      <c r="S113">
        <v>7.6</v>
      </c>
      <c r="T113">
        <v>0.09</v>
      </c>
      <c r="U113">
        <v>1.31</v>
      </c>
      <c r="V113">
        <v>1.4</v>
      </c>
      <c r="W113">
        <v>13.22</v>
      </c>
      <c r="X113">
        <v>11</v>
      </c>
      <c r="Y113" t="s">
        <v>1000</v>
      </c>
      <c r="Z113">
        <v>478</v>
      </c>
      <c r="AA113">
        <v>99</v>
      </c>
      <c r="AB113">
        <v>90</v>
      </c>
      <c r="AC113">
        <v>33</v>
      </c>
      <c r="AD113">
        <v>156</v>
      </c>
      <c r="AE113">
        <v>58</v>
      </c>
      <c r="AF113">
        <v>254</v>
      </c>
      <c r="AG113">
        <v>95</v>
      </c>
      <c r="AH113">
        <f>fpl_player_statistics_cleaned[[#This Row],[Total Points]] / fpl_player_statistics_cleaned[[#This Row],[Now Cost]]</f>
        <v>7.5555555555555554</v>
      </c>
      <c r="AI113">
        <f>fpl_player_statistics_cleaned[[#This Row],[Goals Scored]] + fpl_player_statistics_cleaned[[#This Row],[Assists]]</f>
        <v>1</v>
      </c>
      <c r="AJ113">
        <f>fpl_player_statistics_cleaned[[#This Row],[Total Points]] / fpl_player_statistics_cleaned[[#This Row],[Starts]]</f>
        <v>3.0909090909090908</v>
      </c>
      <c r="AK113">
        <f>((fpl_player_statistics_cleaned[[#This Row],[Points Per Game]]) * fpl_player_statistics_cleaned[[#This Row],[Form]]) / fpl_player_statistics_cleaned[[#This Row],[Now Cost]]</f>
        <v>2.6177777777777775</v>
      </c>
      <c r="AL113">
        <f>fpl_player_statistics_cleaned[[#This Row],[Minutes]] / fpl_player_statistics_cleaned[[#This Row],[Total Points]]</f>
        <v>28</v>
      </c>
      <c r="AM11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89.004444444444445</v>
      </c>
    </row>
    <row r="114" spans="1:39" x14ac:dyDescent="0.2">
      <c r="A114" t="s">
        <v>157</v>
      </c>
      <c r="B114" t="s">
        <v>51</v>
      </c>
      <c r="C114" t="s">
        <v>38</v>
      </c>
      <c r="D114">
        <v>5</v>
      </c>
      <c r="E114">
        <v>34</v>
      </c>
      <c r="F114">
        <v>3.8</v>
      </c>
      <c r="G114">
        <v>4.0999999999999996</v>
      </c>
      <c r="H114">
        <v>0</v>
      </c>
      <c r="I114">
        <v>1</v>
      </c>
      <c r="J114">
        <v>747</v>
      </c>
      <c r="K114">
        <v>3</v>
      </c>
      <c r="L114">
        <v>6</v>
      </c>
      <c r="M114">
        <v>0</v>
      </c>
      <c r="N114">
        <v>3</v>
      </c>
      <c r="O114">
        <v>28</v>
      </c>
      <c r="P114">
        <v>0.5</v>
      </c>
      <c r="Q114">
        <v>1</v>
      </c>
      <c r="R114">
        <v>0.1</v>
      </c>
      <c r="S114">
        <v>6.8</v>
      </c>
      <c r="T114">
        <v>0.41</v>
      </c>
      <c r="U114">
        <v>0.26</v>
      </c>
      <c r="V114">
        <v>0.67</v>
      </c>
      <c r="W114">
        <v>10.77</v>
      </c>
      <c r="X114">
        <v>8</v>
      </c>
      <c r="Y114" t="s">
        <v>1000</v>
      </c>
      <c r="Z114">
        <v>258</v>
      </c>
      <c r="AA114">
        <v>39</v>
      </c>
      <c r="AB114">
        <v>320</v>
      </c>
      <c r="AC114">
        <v>107</v>
      </c>
      <c r="AD114">
        <v>94</v>
      </c>
      <c r="AE114">
        <v>39</v>
      </c>
      <c r="AF114">
        <v>85</v>
      </c>
      <c r="AG114">
        <v>29</v>
      </c>
      <c r="AH114">
        <f>fpl_player_statistics_cleaned[[#This Row],[Total Points]] / fpl_player_statistics_cleaned[[#This Row],[Now Cost]]</f>
        <v>6.8</v>
      </c>
      <c r="AI114">
        <f>fpl_player_statistics_cleaned[[#This Row],[Goals Scored]] + fpl_player_statistics_cleaned[[#This Row],[Assists]]</f>
        <v>1</v>
      </c>
      <c r="AJ114">
        <f>fpl_player_statistics_cleaned[[#This Row],[Total Points]] / fpl_player_statistics_cleaned[[#This Row],[Starts]]</f>
        <v>4.25</v>
      </c>
      <c r="AK114">
        <f>((fpl_player_statistics_cleaned[[#This Row],[Points Per Game]]) * fpl_player_statistics_cleaned[[#This Row],[Form]]) / fpl_player_statistics_cleaned[[#This Row],[Now Cost]]</f>
        <v>0.38</v>
      </c>
      <c r="AL114">
        <f>fpl_player_statistics_cleaned[[#This Row],[Minutes]] / fpl_player_statistics_cleaned[[#This Row],[Total Points]]</f>
        <v>21.970588235294116</v>
      </c>
      <c r="AM11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12.92</v>
      </c>
    </row>
    <row r="115" spans="1:39" x14ac:dyDescent="0.2">
      <c r="A115" t="s">
        <v>158</v>
      </c>
      <c r="B115" t="s">
        <v>46</v>
      </c>
      <c r="C115" t="s">
        <v>38</v>
      </c>
      <c r="D115">
        <v>4.5</v>
      </c>
      <c r="E115">
        <v>34</v>
      </c>
      <c r="F115">
        <v>3.1</v>
      </c>
      <c r="G115">
        <v>0.6</v>
      </c>
      <c r="H115">
        <v>0</v>
      </c>
      <c r="I115">
        <v>0</v>
      </c>
      <c r="J115">
        <v>990</v>
      </c>
      <c r="K115">
        <v>2</v>
      </c>
      <c r="L115">
        <v>17</v>
      </c>
      <c r="M115">
        <v>0</v>
      </c>
      <c r="N115">
        <v>0</v>
      </c>
      <c r="O115">
        <v>39</v>
      </c>
      <c r="P115">
        <v>3.5</v>
      </c>
      <c r="Q115">
        <v>0</v>
      </c>
      <c r="R115">
        <v>0.8</v>
      </c>
      <c r="S115">
        <v>7.6</v>
      </c>
      <c r="T115">
        <v>1.73</v>
      </c>
      <c r="U115">
        <v>0.16</v>
      </c>
      <c r="V115">
        <v>1.89</v>
      </c>
      <c r="W115">
        <v>13.51</v>
      </c>
      <c r="X115">
        <v>11</v>
      </c>
      <c r="Y115" t="s">
        <v>1000</v>
      </c>
      <c r="Z115">
        <v>423</v>
      </c>
      <c r="AA115">
        <v>88</v>
      </c>
      <c r="AB115">
        <v>99</v>
      </c>
      <c r="AC115">
        <v>36</v>
      </c>
      <c r="AD115">
        <v>155</v>
      </c>
      <c r="AE115">
        <v>57</v>
      </c>
      <c r="AF115">
        <v>226</v>
      </c>
      <c r="AG115">
        <v>83</v>
      </c>
      <c r="AH115">
        <f>fpl_player_statistics_cleaned[[#This Row],[Total Points]] / fpl_player_statistics_cleaned[[#This Row],[Now Cost]]</f>
        <v>7.5555555555555554</v>
      </c>
      <c r="AI115">
        <f>fpl_player_statistics_cleaned[[#This Row],[Goals Scored]] + fpl_player_statistics_cleaned[[#This Row],[Assists]]</f>
        <v>0</v>
      </c>
      <c r="AJ115">
        <f>fpl_player_statistics_cleaned[[#This Row],[Total Points]] / fpl_player_statistics_cleaned[[#This Row],[Starts]]</f>
        <v>3.0909090909090908</v>
      </c>
      <c r="AK115">
        <f>((fpl_player_statistics_cleaned[[#This Row],[Points Per Game]]) * fpl_player_statistics_cleaned[[#This Row],[Form]]) / fpl_player_statistics_cleaned[[#This Row],[Now Cost]]</f>
        <v>2.411111111111111</v>
      </c>
      <c r="AL115">
        <f>fpl_player_statistics_cleaned[[#This Row],[Minutes]] / fpl_player_statistics_cleaned[[#This Row],[Total Points]]</f>
        <v>29.117647058823529</v>
      </c>
      <c r="AM11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81.977777777777774</v>
      </c>
    </row>
    <row r="116" spans="1:39" x14ac:dyDescent="0.2">
      <c r="A116" t="s">
        <v>159</v>
      </c>
      <c r="B116" t="s">
        <v>54</v>
      </c>
      <c r="C116" t="s">
        <v>41</v>
      </c>
      <c r="D116">
        <v>5</v>
      </c>
      <c r="E116">
        <v>34</v>
      </c>
      <c r="F116">
        <v>3.1</v>
      </c>
      <c r="G116">
        <v>0.3</v>
      </c>
      <c r="H116">
        <v>1</v>
      </c>
      <c r="I116">
        <v>2</v>
      </c>
      <c r="J116">
        <v>587</v>
      </c>
      <c r="K116">
        <v>4</v>
      </c>
      <c r="L116">
        <v>3</v>
      </c>
      <c r="M116">
        <v>0</v>
      </c>
      <c r="N116">
        <v>2</v>
      </c>
      <c r="O116">
        <v>25.2</v>
      </c>
      <c r="P116">
        <v>3.5</v>
      </c>
      <c r="Q116">
        <v>0</v>
      </c>
      <c r="R116">
        <v>0.7</v>
      </c>
      <c r="S116">
        <v>6.8</v>
      </c>
      <c r="T116">
        <v>1.02</v>
      </c>
      <c r="U116">
        <v>0.3</v>
      </c>
      <c r="V116">
        <v>1.31</v>
      </c>
      <c r="W116">
        <v>7.65</v>
      </c>
      <c r="X116">
        <v>6</v>
      </c>
      <c r="Y116" t="s">
        <v>1000</v>
      </c>
      <c r="Z116">
        <v>282</v>
      </c>
      <c r="AA116">
        <v>176</v>
      </c>
      <c r="AB116">
        <v>103</v>
      </c>
      <c r="AC116">
        <v>48</v>
      </c>
      <c r="AD116">
        <v>158</v>
      </c>
      <c r="AE116">
        <v>70</v>
      </c>
      <c r="AF116">
        <v>326</v>
      </c>
      <c r="AG116">
        <v>112</v>
      </c>
      <c r="AH116">
        <f>fpl_player_statistics_cleaned[[#This Row],[Total Points]] / fpl_player_statistics_cleaned[[#This Row],[Now Cost]]</f>
        <v>6.8</v>
      </c>
      <c r="AI116">
        <f>fpl_player_statistics_cleaned[[#This Row],[Goals Scored]] + fpl_player_statistics_cleaned[[#This Row],[Assists]]</f>
        <v>3</v>
      </c>
      <c r="AJ116">
        <f>fpl_player_statistics_cleaned[[#This Row],[Total Points]] / fpl_player_statistics_cleaned[[#This Row],[Starts]]</f>
        <v>5.666666666666667</v>
      </c>
      <c r="AK116">
        <f>((fpl_player_statistics_cleaned[[#This Row],[Points Per Game]]) * fpl_player_statistics_cleaned[[#This Row],[Form]]) / fpl_player_statistics_cleaned[[#This Row],[Now Cost]]</f>
        <v>2.17</v>
      </c>
      <c r="AL116">
        <f>fpl_player_statistics_cleaned[[#This Row],[Minutes]] / fpl_player_statistics_cleaned[[#This Row],[Total Points]]</f>
        <v>17.264705882352942</v>
      </c>
      <c r="AM11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73.78</v>
      </c>
    </row>
    <row r="117" spans="1:39" x14ac:dyDescent="0.2">
      <c r="A117" t="s">
        <v>160</v>
      </c>
      <c r="B117" t="s">
        <v>92</v>
      </c>
      <c r="C117" t="s">
        <v>55</v>
      </c>
      <c r="D117">
        <v>5</v>
      </c>
      <c r="E117">
        <v>34</v>
      </c>
      <c r="F117">
        <v>3.1</v>
      </c>
      <c r="G117">
        <v>1.6</v>
      </c>
      <c r="H117">
        <v>0</v>
      </c>
      <c r="I117">
        <v>0</v>
      </c>
      <c r="J117">
        <v>990</v>
      </c>
      <c r="K117">
        <v>2</v>
      </c>
      <c r="L117">
        <v>16</v>
      </c>
      <c r="M117">
        <v>33</v>
      </c>
      <c r="N117">
        <v>2</v>
      </c>
      <c r="O117">
        <v>26.5</v>
      </c>
      <c r="P117">
        <v>3.5</v>
      </c>
      <c r="Q117">
        <v>1</v>
      </c>
      <c r="R117">
        <v>0.7</v>
      </c>
      <c r="S117">
        <v>6.8</v>
      </c>
      <c r="T117">
        <v>0</v>
      </c>
      <c r="U117">
        <v>0</v>
      </c>
      <c r="V117">
        <v>0</v>
      </c>
      <c r="W117">
        <v>14.77</v>
      </c>
      <c r="X117">
        <v>11</v>
      </c>
      <c r="Y117" t="s">
        <v>1000</v>
      </c>
      <c r="Z117">
        <v>241</v>
      </c>
      <c r="AA117">
        <v>7</v>
      </c>
      <c r="AB117">
        <v>102</v>
      </c>
      <c r="AC117">
        <v>10</v>
      </c>
      <c r="AD117">
        <v>157</v>
      </c>
      <c r="AE117">
        <v>17</v>
      </c>
      <c r="AF117">
        <v>146</v>
      </c>
      <c r="AG117">
        <v>19</v>
      </c>
      <c r="AH117">
        <f>fpl_player_statistics_cleaned[[#This Row],[Total Points]] / fpl_player_statistics_cleaned[[#This Row],[Now Cost]]</f>
        <v>6.8</v>
      </c>
      <c r="AI117">
        <f>fpl_player_statistics_cleaned[[#This Row],[Goals Scored]] + fpl_player_statistics_cleaned[[#This Row],[Assists]]</f>
        <v>0</v>
      </c>
      <c r="AJ117">
        <f>fpl_player_statistics_cleaned[[#This Row],[Total Points]] / fpl_player_statistics_cleaned[[#This Row],[Starts]]</f>
        <v>3.0909090909090908</v>
      </c>
      <c r="AK117">
        <f>((fpl_player_statistics_cleaned[[#This Row],[Points Per Game]]) * fpl_player_statistics_cleaned[[#This Row],[Form]]) / fpl_player_statistics_cleaned[[#This Row],[Now Cost]]</f>
        <v>2.17</v>
      </c>
      <c r="AL117">
        <f>fpl_player_statistics_cleaned[[#This Row],[Minutes]] / fpl_player_statistics_cleaned[[#This Row],[Total Points]]</f>
        <v>29.117647058823529</v>
      </c>
      <c r="AM11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73.78</v>
      </c>
    </row>
    <row r="118" spans="1:39" x14ac:dyDescent="0.2">
      <c r="A118" t="s">
        <v>919</v>
      </c>
      <c r="B118" t="s">
        <v>34</v>
      </c>
      <c r="C118" t="s">
        <v>38</v>
      </c>
      <c r="D118">
        <v>5.8</v>
      </c>
      <c r="E118">
        <v>34</v>
      </c>
      <c r="F118">
        <v>4.9000000000000004</v>
      </c>
      <c r="G118">
        <v>5.0999999999999996</v>
      </c>
      <c r="H118">
        <v>0</v>
      </c>
      <c r="I118">
        <v>1</v>
      </c>
      <c r="J118">
        <v>609</v>
      </c>
      <c r="K118">
        <v>3</v>
      </c>
      <c r="L118">
        <v>4</v>
      </c>
      <c r="M118">
        <v>0</v>
      </c>
      <c r="N118">
        <v>3</v>
      </c>
      <c r="O118">
        <v>21.3</v>
      </c>
      <c r="P118">
        <v>2.5</v>
      </c>
      <c r="Q118">
        <v>1</v>
      </c>
      <c r="R118">
        <v>0.4</v>
      </c>
      <c r="S118">
        <v>5.9</v>
      </c>
      <c r="T118">
        <v>0.17</v>
      </c>
      <c r="U118">
        <v>0.28000000000000003</v>
      </c>
      <c r="V118">
        <v>0.45</v>
      </c>
      <c r="W118">
        <v>5.95</v>
      </c>
      <c r="X118">
        <v>7</v>
      </c>
      <c r="Y118" t="s">
        <v>1000</v>
      </c>
      <c r="Z118">
        <v>115</v>
      </c>
      <c r="AA118">
        <v>10</v>
      </c>
      <c r="AB118">
        <v>158</v>
      </c>
      <c r="AC118">
        <v>59</v>
      </c>
      <c r="AD118">
        <v>36</v>
      </c>
      <c r="AE118">
        <v>21</v>
      </c>
      <c r="AF118">
        <v>69</v>
      </c>
      <c r="AG118">
        <v>23</v>
      </c>
      <c r="AH118">
        <f>fpl_player_statistics_cleaned[[#This Row],[Total Points]] / fpl_player_statistics_cleaned[[#This Row],[Now Cost]]</f>
        <v>5.862068965517242</v>
      </c>
      <c r="AI118">
        <f>fpl_player_statistics_cleaned[[#This Row],[Goals Scored]] + fpl_player_statistics_cleaned[[#This Row],[Assists]]</f>
        <v>1</v>
      </c>
      <c r="AJ118">
        <f>fpl_player_statistics_cleaned[[#This Row],[Total Points]] / fpl_player_statistics_cleaned[[#This Row],[Starts]]</f>
        <v>4.8571428571428568</v>
      </c>
      <c r="AK118">
        <f>((fpl_player_statistics_cleaned[[#This Row],[Points Per Game]]) * fpl_player_statistics_cleaned[[#This Row],[Form]]) / fpl_player_statistics_cleaned[[#This Row],[Now Cost]]</f>
        <v>2.1120689655172415</v>
      </c>
      <c r="AL118">
        <f>fpl_player_statistics_cleaned[[#This Row],[Minutes]] / fpl_player_statistics_cleaned[[#This Row],[Total Points]]</f>
        <v>17.911764705882351</v>
      </c>
      <c r="AM11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71.810344827586206</v>
      </c>
    </row>
    <row r="119" spans="1:39" x14ac:dyDescent="0.2">
      <c r="A119" t="s">
        <v>161</v>
      </c>
      <c r="B119" t="s">
        <v>34</v>
      </c>
      <c r="C119" t="s">
        <v>41</v>
      </c>
      <c r="D119">
        <v>5.5</v>
      </c>
      <c r="E119">
        <v>34</v>
      </c>
      <c r="F119">
        <v>3.4</v>
      </c>
      <c r="G119">
        <v>20</v>
      </c>
      <c r="H119">
        <v>1</v>
      </c>
      <c r="I119">
        <v>2</v>
      </c>
      <c r="J119">
        <v>757</v>
      </c>
      <c r="K119">
        <v>3</v>
      </c>
      <c r="L119">
        <v>7</v>
      </c>
      <c r="M119">
        <v>0</v>
      </c>
      <c r="N119">
        <v>2</v>
      </c>
      <c r="O119">
        <v>46.3</v>
      </c>
      <c r="P119">
        <v>0.8</v>
      </c>
      <c r="Q119">
        <v>1</v>
      </c>
      <c r="R119">
        <v>0.1</v>
      </c>
      <c r="S119">
        <v>6.2</v>
      </c>
      <c r="T119">
        <v>1.47</v>
      </c>
      <c r="U119">
        <v>0.61</v>
      </c>
      <c r="V119">
        <v>2.08</v>
      </c>
      <c r="W119">
        <v>9.0500000000000007</v>
      </c>
      <c r="X119">
        <v>9</v>
      </c>
      <c r="Y119" t="s">
        <v>1000</v>
      </c>
      <c r="Z119">
        <v>143</v>
      </c>
      <c r="AA119">
        <v>92</v>
      </c>
      <c r="AB119">
        <v>300</v>
      </c>
      <c r="AC119">
        <v>149</v>
      </c>
      <c r="AD119">
        <v>132</v>
      </c>
      <c r="AE119">
        <v>60</v>
      </c>
      <c r="AF119">
        <v>20</v>
      </c>
      <c r="AG119">
        <v>7</v>
      </c>
      <c r="AH119">
        <f>fpl_player_statistics_cleaned[[#This Row],[Total Points]] / fpl_player_statistics_cleaned[[#This Row],[Now Cost]]</f>
        <v>6.1818181818181817</v>
      </c>
      <c r="AI119">
        <f>fpl_player_statistics_cleaned[[#This Row],[Goals Scored]] + fpl_player_statistics_cleaned[[#This Row],[Assists]]</f>
        <v>3</v>
      </c>
      <c r="AJ119">
        <f>fpl_player_statistics_cleaned[[#This Row],[Total Points]] / fpl_player_statistics_cleaned[[#This Row],[Starts]]</f>
        <v>3.7777777777777777</v>
      </c>
      <c r="AK119">
        <f>((fpl_player_statistics_cleaned[[#This Row],[Points Per Game]]) * fpl_player_statistics_cleaned[[#This Row],[Form]]) / fpl_player_statistics_cleaned[[#This Row],[Now Cost]]</f>
        <v>0.49454545454545457</v>
      </c>
      <c r="AL119">
        <f>fpl_player_statistics_cleaned[[#This Row],[Minutes]] / fpl_player_statistics_cleaned[[#This Row],[Total Points]]</f>
        <v>22.264705882352942</v>
      </c>
      <c r="AM11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16.814545454545456</v>
      </c>
    </row>
    <row r="120" spans="1:39" x14ac:dyDescent="0.2">
      <c r="A120" t="s">
        <v>162</v>
      </c>
      <c r="B120" t="s">
        <v>70</v>
      </c>
      <c r="C120" t="s">
        <v>38</v>
      </c>
      <c r="D120">
        <v>4.4000000000000004</v>
      </c>
      <c r="E120">
        <v>33</v>
      </c>
      <c r="F120">
        <v>3.3</v>
      </c>
      <c r="G120">
        <v>8.4</v>
      </c>
      <c r="H120">
        <v>0</v>
      </c>
      <c r="I120">
        <v>0</v>
      </c>
      <c r="J120">
        <v>875</v>
      </c>
      <c r="K120">
        <v>4</v>
      </c>
      <c r="L120">
        <v>9</v>
      </c>
      <c r="M120">
        <v>0</v>
      </c>
      <c r="N120">
        <v>0</v>
      </c>
      <c r="O120">
        <v>23.9</v>
      </c>
      <c r="P120">
        <v>4.2</v>
      </c>
      <c r="Q120">
        <v>0</v>
      </c>
      <c r="R120">
        <v>1</v>
      </c>
      <c r="S120">
        <v>7.5</v>
      </c>
      <c r="T120">
        <v>0.04</v>
      </c>
      <c r="U120">
        <v>0.15</v>
      </c>
      <c r="V120">
        <v>0.19</v>
      </c>
      <c r="W120">
        <v>12.98</v>
      </c>
      <c r="X120">
        <v>10</v>
      </c>
      <c r="Y120" t="s">
        <v>1000</v>
      </c>
      <c r="Z120">
        <v>501</v>
      </c>
      <c r="AA120">
        <v>112</v>
      </c>
      <c r="AB120">
        <v>70</v>
      </c>
      <c r="AC120">
        <v>26</v>
      </c>
      <c r="AD120">
        <v>135</v>
      </c>
      <c r="AE120">
        <v>48</v>
      </c>
      <c r="AF120">
        <v>46</v>
      </c>
      <c r="AG120">
        <v>15</v>
      </c>
      <c r="AH120">
        <f>fpl_player_statistics_cleaned[[#This Row],[Total Points]] / fpl_player_statistics_cleaned[[#This Row],[Now Cost]]</f>
        <v>7.4999999999999991</v>
      </c>
      <c r="AI120">
        <f>fpl_player_statistics_cleaned[[#This Row],[Goals Scored]] + fpl_player_statistics_cleaned[[#This Row],[Assists]]</f>
        <v>0</v>
      </c>
      <c r="AJ120">
        <f>fpl_player_statistics_cleaned[[#This Row],[Total Points]] / fpl_player_statistics_cleaned[[#This Row],[Starts]]</f>
        <v>3.3</v>
      </c>
      <c r="AK120">
        <f>((fpl_player_statistics_cleaned[[#This Row],[Points Per Game]]) * fpl_player_statistics_cleaned[[#This Row],[Form]]) / fpl_player_statistics_cleaned[[#This Row],[Now Cost]]</f>
        <v>3.1499999999999995</v>
      </c>
      <c r="AL120">
        <f>fpl_player_statistics_cleaned[[#This Row],[Minutes]] / fpl_player_statistics_cleaned[[#This Row],[Total Points]]</f>
        <v>26.515151515151516</v>
      </c>
      <c r="AM12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103.94999999999999</v>
      </c>
    </row>
    <row r="121" spans="1:39" x14ac:dyDescent="0.2">
      <c r="A121" t="s">
        <v>163</v>
      </c>
      <c r="B121" t="s">
        <v>46</v>
      </c>
      <c r="C121" t="s">
        <v>41</v>
      </c>
      <c r="D121">
        <v>5</v>
      </c>
      <c r="E121">
        <v>33</v>
      </c>
      <c r="F121">
        <v>3</v>
      </c>
      <c r="G121">
        <v>0.1</v>
      </c>
      <c r="H121">
        <v>0</v>
      </c>
      <c r="I121">
        <v>1</v>
      </c>
      <c r="J121">
        <v>868</v>
      </c>
      <c r="K121">
        <v>2</v>
      </c>
      <c r="L121">
        <v>15</v>
      </c>
      <c r="M121">
        <v>0</v>
      </c>
      <c r="N121">
        <v>0</v>
      </c>
      <c r="O121">
        <v>28.4</v>
      </c>
      <c r="P121">
        <v>2.5</v>
      </c>
      <c r="Q121">
        <v>0</v>
      </c>
      <c r="R121">
        <v>0.5</v>
      </c>
      <c r="S121">
        <v>6.6</v>
      </c>
      <c r="T121">
        <v>0.28999999999999998</v>
      </c>
      <c r="U121">
        <v>0.44</v>
      </c>
      <c r="V121">
        <v>0.73</v>
      </c>
      <c r="W121">
        <v>11.63</v>
      </c>
      <c r="X121">
        <v>11</v>
      </c>
      <c r="Y121" t="s">
        <v>1000</v>
      </c>
      <c r="Z121">
        <v>280</v>
      </c>
      <c r="AA121">
        <v>174</v>
      </c>
      <c r="AB121">
        <v>154</v>
      </c>
      <c r="AC121">
        <v>65</v>
      </c>
      <c r="AD121">
        <v>166</v>
      </c>
      <c r="AE121">
        <v>73</v>
      </c>
      <c r="AF121">
        <v>505</v>
      </c>
      <c r="AG121">
        <v>178</v>
      </c>
      <c r="AH121">
        <f>fpl_player_statistics_cleaned[[#This Row],[Total Points]] / fpl_player_statistics_cleaned[[#This Row],[Now Cost]]</f>
        <v>6.6</v>
      </c>
      <c r="AI121">
        <f>fpl_player_statistics_cleaned[[#This Row],[Goals Scored]] + fpl_player_statistics_cleaned[[#This Row],[Assists]]</f>
        <v>1</v>
      </c>
      <c r="AJ121">
        <f>fpl_player_statistics_cleaned[[#This Row],[Total Points]] / fpl_player_statistics_cleaned[[#This Row],[Starts]]</f>
        <v>3</v>
      </c>
      <c r="AK121">
        <f>((fpl_player_statistics_cleaned[[#This Row],[Points Per Game]]) * fpl_player_statistics_cleaned[[#This Row],[Form]]) / fpl_player_statistics_cleaned[[#This Row],[Now Cost]]</f>
        <v>1.5</v>
      </c>
      <c r="AL121">
        <f>fpl_player_statistics_cleaned[[#This Row],[Minutes]] / fpl_player_statistics_cleaned[[#This Row],[Total Points]]</f>
        <v>26.303030303030305</v>
      </c>
      <c r="AM12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49.5</v>
      </c>
    </row>
    <row r="122" spans="1:39" hidden="1" x14ac:dyDescent="0.2">
      <c r="A122" t="s">
        <v>164</v>
      </c>
      <c r="B122" t="s">
        <v>49</v>
      </c>
      <c r="C122" t="s">
        <v>38</v>
      </c>
      <c r="D122">
        <v>4.4000000000000004</v>
      </c>
      <c r="E122">
        <v>33</v>
      </c>
      <c r="F122">
        <v>4.0999999999999996</v>
      </c>
      <c r="G122">
        <v>0.8</v>
      </c>
      <c r="H122">
        <v>1</v>
      </c>
      <c r="I122">
        <v>1</v>
      </c>
      <c r="J122">
        <v>341</v>
      </c>
      <c r="K122">
        <v>2</v>
      </c>
      <c r="L122">
        <v>4</v>
      </c>
      <c r="M122">
        <v>0</v>
      </c>
      <c r="N122">
        <v>3</v>
      </c>
      <c r="O122">
        <v>14.3</v>
      </c>
      <c r="P122">
        <v>4.2</v>
      </c>
      <c r="Q122">
        <v>1</v>
      </c>
      <c r="R122">
        <v>1</v>
      </c>
      <c r="S122">
        <v>7.5</v>
      </c>
      <c r="T122">
        <v>0.32</v>
      </c>
      <c r="U122">
        <v>0.02</v>
      </c>
      <c r="V122">
        <v>0.34</v>
      </c>
      <c r="W122">
        <v>6.7</v>
      </c>
      <c r="X122">
        <v>4</v>
      </c>
      <c r="Y122" t="s">
        <v>165</v>
      </c>
      <c r="Z122">
        <v>494</v>
      </c>
      <c r="AA122">
        <v>105</v>
      </c>
      <c r="AB122">
        <v>69</v>
      </c>
      <c r="AC122">
        <v>25</v>
      </c>
      <c r="AD122">
        <v>70</v>
      </c>
      <c r="AE122">
        <v>31</v>
      </c>
      <c r="AF122">
        <v>194</v>
      </c>
      <c r="AG122">
        <v>73</v>
      </c>
      <c r="AI122">
        <v>6.3265306122448974</v>
      </c>
    </row>
    <row r="123" spans="1:39" x14ac:dyDescent="0.2">
      <c r="A123" t="s">
        <v>166</v>
      </c>
      <c r="B123" t="s">
        <v>46</v>
      </c>
      <c r="C123" t="s">
        <v>41</v>
      </c>
      <c r="D123">
        <v>5.8</v>
      </c>
      <c r="E123">
        <v>33</v>
      </c>
      <c r="F123">
        <v>3.7</v>
      </c>
      <c r="G123">
        <v>0.6</v>
      </c>
      <c r="H123">
        <v>1</v>
      </c>
      <c r="I123">
        <v>1</v>
      </c>
      <c r="J123">
        <v>715</v>
      </c>
      <c r="K123">
        <v>2</v>
      </c>
      <c r="L123">
        <v>11</v>
      </c>
      <c r="M123">
        <v>0</v>
      </c>
      <c r="N123">
        <v>3</v>
      </c>
      <c r="O123">
        <v>48.8</v>
      </c>
      <c r="P123">
        <v>3.5</v>
      </c>
      <c r="Q123">
        <v>0</v>
      </c>
      <c r="R123">
        <v>0.6</v>
      </c>
      <c r="S123">
        <v>5.7</v>
      </c>
      <c r="T123">
        <v>0.53</v>
      </c>
      <c r="U123">
        <v>1.5</v>
      </c>
      <c r="V123">
        <v>2.0299999999999998</v>
      </c>
      <c r="W123">
        <v>9.4700000000000006</v>
      </c>
      <c r="X123">
        <v>9</v>
      </c>
      <c r="Y123" t="s">
        <v>1000</v>
      </c>
      <c r="Z123">
        <v>111</v>
      </c>
      <c r="AA123">
        <v>75</v>
      </c>
      <c r="AB123">
        <v>105</v>
      </c>
      <c r="AC123">
        <v>50</v>
      </c>
      <c r="AD123">
        <v>104</v>
      </c>
      <c r="AE123">
        <v>43</v>
      </c>
      <c r="AF123">
        <v>216</v>
      </c>
      <c r="AG123">
        <v>75</v>
      </c>
      <c r="AH123">
        <f>fpl_player_statistics_cleaned[[#This Row],[Total Points]] / fpl_player_statistics_cleaned[[#This Row],[Now Cost]]</f>
        <v>5.6896551724137936</v>
      </c>
      <c r="AI123">
        <f>fpl_player_statistics_cleaned[[#This Row],[Goals Scored]] + fpl_player_statistics_cleaned[[#This Row],[Assists]]</f>
        <v>2</v>
      </c>
      <c r="AJ123">
        <f>fpl_player_statistics_cleaned[[#This Row],[Total Points]] / fpl_player_statistics_cleaned[[#This Row],[Starts]]</f>
        <v>3.6666666666666665</v>
      </c>
      <c r="AK123">
        <f>((fpl_player_statistics_cleaned[[#This Row],[Points Per Game]]) * fpl_player_statistics_cleaned[[#This Row],[Form]]) / fpl_player_statistics_cleaned[[#This Row],[Now Cost]]</f>
        <v>2.2327586206896552</v>
      </c>
      <c r="AL123">
        <f>fpl_player_statistics_cleaned[[#This Row],[Minutes]] / fpl_player_statistics_cleaned[[#This Row],[Total Points]]</f>
        <v>21.666666666666668</v>
      </c>
      <c r="AM12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73.681034482758633</v>
      </c>
    </row>
    <row r="124" spans="1:39" x14ac:dyDescent="0.2">
      <c r="A124" t="s">
        <v>167</v>
      </c>
      <c r="B124" t="s">
        <v>70</v>
      </c>
      <c r="C124" t="s">
        <v>41</v>
      </c>
      <c r="D124">
        <v>5.0999999999999996</v>
      </c>
      <c r="E124">
        <v>32</v>
      </c>
      <c r="F124">
        <v>2.9</v>
      </c>
      <c r="G124">
        <v>0.7</v>
      </c>
      <c r="H124">
        <v>3</v>
      </c>
      <c r="I124">
        <v>0</v>
      </c>
      <c r="J124">
        <v>332</v>
      </c>
      <c r="K124">
        <v>0</v>
      </c>
      <c r="L124">
        <v>6</v>
      </c>
      <c r="M124">
        <v>0</v>
      </c>
      <c r="N124">
        <v>3</v>
      </c>
      <c r="O124">
        <v>27.9</v>
      </c>
      <c r="P124">
        <v>2.5</v>
      </c>
      <c r="Q124">
        <v>1</v>
      </c>
      <c r="R124">
        <v>0.5</v>
      </c>
      <c r="S124">
        <v>6.3</v>
      </c>
      <c r="T124">
        <v>1.47</v>
      </c>
      <c r="U124">
        <v>0.14000000000000001</v>
      </c>
      <c r="V124">
        <v>1.61</v>
      </c>
      <c r="W124">
        <v>4.72</v>
      </c>
      <c r="X124">
        <v>3</v>
      </c>
      <c r="Y124" t="s">
        <v>1000</v>
      </c>
      <c r="Z124">
        <v>232</v>
      </c>
      <c r="AA124">
        <v>144</v>
      </c>
      <c r="AB124">
        <v>155</v>
      </c>
      <c r="AC124">
        <v>66</v>
      </c>
      <c r="AD124">
        <v>173</v>
      </c>
      <c r="AE124">
        <v>77</v>
      </c>
      <c r="AF124">
        <v>202</v>
      </c>
      <c r="AG124">
        <v>68</v>
      </c>
      <c r="AH124">
        <f>fpl_player_statistics_cleaned[[#This Row],[Total Points]] / fpl_player_statistics_cleaned[[#This Row],[Now Cost]]</f>
        <v>6.2745098039215694</v>
      </c>
      <c r="AI124">
        <f>fpl_player_statistics_cleaned[[#This Row],[Goals Scored]] + fpl_player_statistics_cleaned[[#This Row],[Assists]]</f>
        <v>3</v>
      </c>
      <c r="AJ124">
        <f>fpl_player_statistics_cleaned[[#This Row],[Total Points]] / fpl_player_statistics_cleaned[[#This Row],[Starts]]</f>
        <v>10.666666666666666</v>
      </c>
      <c r="AK124">
        <f>((fpl_player_statistics_cleaned[[#This Row],[Points Per Game]]) * fpl_player_statistics_cleaned[[#This Row],[Form]]) / fpl_player_statistics_cleaned[[#This Row],[Now Cost]]</f>
        <v>1.4215686274509804</v>
      </c>
      <c r="AL124">
        <f>fpl_player_statistics_cleaned[[#This Row],[Minutes]] / fpl_player_statistics_cleaned[[#This Row],[Total Points]]</f>
        <v>10.375</v>
      </c>
      <c r="AM12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45.490196078431374</v>
      </c>
    </row>
    <row r="125" spans="1:39" x14ac:dyDescent="0.2">
      <c r="A125" t="s">
        <v>920</v>
      </c>
      <c r="B125" t="s">
        <v>46</v>
      </c>
      <c r="C125" t="s">
        <v>55</v>
      </c>
      <c r="D125">
        <v>4.5</v>
      </c>
      <c r="E125">
        <v>32</v>
      </c>
      <c r="F125">
        <v>2.9</v>
      </c>
      <c r="G125">
        <v>7.8</v>
      </c>
      <c r="H125">
        <v>0</v>
      </c>
      <c r="I125">
        <v>0</v>
      </c>
      <c r="J125">
        <v>990</v>
      </c>
      <c r="K125">
        <v>2</v>
      </c>
      <c r="L125">
        <v>17</v>
      </c>
      <c r="M125">
        <v>25</v>
      </c>
      <c r="N125">
        <v>0</v>
      </c>
      <c r="O125">
        <v>22.2</v>
      </c>
      <c r="P125">
        <v>2.8</v>
      </c>
      <c r="Q125">
        <v>0</v>
      </c>
      <c r="R125">
        <v>0.6</v>
      </c>
      <c r="S125">
        <v>7.1</v>
      </c>
      <c r="T125">
        <v>0</v>
      </c>
      <c r="U125">
        <v>0.01</v>
      </c>
      <c r="V125">
        <v>0.01</v>
      </c>
      <c r="W125">
        <v>13.51</v>
      </c>
      <c r="X125">
        <v>11</v>
      </c>
      <c r="Y125" t="s">
        <v>1000</v>
      </c>
      <c r="Z125">
        <v>404</v>
      </c>
      <c r="AA125">
        <v>23</v>
      </c>
      <c r="AB125">
        <v>137</v>
      </c>
      <c r="AC125">
        <v>14</v>
      </c>
      <c r="AD125">
        <v>170</v>
      </c>
      <c r="AE125">
        <v>18</v>
      </c>
      <c r="AF125">
        <v>50</v>
      </c>
      <c r="AG125">
        <v>9</v>
      </c>
      <c r="AH125">
        <f>fpl_player_statistics_cleaned[[#This Row],[Total Points]] / fpl_player_statistics_cleaned[[#This Row],[Now Cost]]</f>
        <v>7.1111111111111107</v>
      </c>
      <c r="AI125">
        <f>fpl_player_statistics_cleaned[[#This Row],[Goals Scored]] + fpl_player_statistics_cleaned[[#This Row],[Assists]]</f>
        <v>0</v>
      </c>
      <c r="AJ125">
        <f>fpl_player_statistics_cleaned[[#This Row],[Total Points]] / fpl_player_statistics_cleaned[[#This Row],[Starts]]</f>
        <v>2.9090909090909092</v>
      </c>
      <c r="AK125">
        <f>((fpl_player_statistics_cleaned[[#This Row],[Points Per Game]]) * fpl_player_statistics_cleaned[[#This Row],[Form]]) / fpl_player_statistics_cleaned[[#This Row],[Now Cost]]</f>
        <v>1.8044444444444443</v>
      </c>
      <c r="AL125">
        <f>fpl_player_statistics_cleaned[[#This Row],[Minutes]] / fpl_player_statistics_cleaned[[#This Row],[Total Points]]</f>
        <v>30.9375</v>
      </c>
      <c r="AM12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57.742222222222225</v>
      </c>
    </row>
    <row r="126" spans="1:39" x14ac:dyDescent="0.2">
      <c r="A126" t="s">
        <v>168</v>
      </c>
      <c r="B126" t="s">
        <v>43</v>
      </c>
      <c r="C126" t="s">
        <v>41</v>
      </c>
      <c r="D126">
        <v>5</v>
      </c>
      <c r="E126">
        <v>32</v>
      </c>
      <c r="F126">
        <v>3.6</v>
      </c>
      <c r="G126">
        <v>0.2</v>
      </c>
      <c r="H126">
        <v>0</v>
      </c>
      <c r="I126">
        <v>2</v>
      </c>
      <c r="J126">
        <v>758</v>
      </c>
      <c r="K126">
        <v>4</v>
      </c>
      <c r="L126">
        <v>7</v>
      </c>
      <c r="M126">
        <v>0</v>
      </c>
      <c r="N126">
        <v>0</v>
      </c>
      <c r="O126">
        <v>25</v>
      </c>
      <c r="P126">
        <v>3</v>
      </c>
      <c r="Q126">
        <v>0</v>
      </c>
      <c r="R126">
        <v>0.6</v>
      </c>
      <c r="S126">
        <v>6.4</v>
      </c>
      <c r="T126">
        <v>0.67</v>
      </c>
      <c r="U126">
        <v>1.02</v>
      </c>
      <c r="V126">
        <v>1.69</v>
      </c>
      <c r="W126">
        <v>9.6</v>
      </c>
      <c r="X126">
        <v>9</v>
      </c>
      <c r="Y126" t="s">
        <v>1000</v>
      </c>
      <c r="Z126">
        <v>254</v>
      </c>
      <c r="AA126">
        <v>157</v>
      </c>
      <c r="AB126">
        <v>124</v>
      </c>
      <c r="AC126">
        <v>57</v>
      </c>
      <c r="AD126">
        <v>111</v>
      </c>
      <c r="AE126">
        <v>46</v>
      </c>
      <c r="AF126">
        <v>399</v>
      </c>
      <c r="AG126">
        <v>134</v>
      </c>
      <c r="AH126">
        <f>fpl_player_statistics_cleaned[[#This Row],[Total Points]] / fpl_player_statistics_cleaned[[#This Row],[Now Cost]]</f>
        <v>6.4</v>
      </c>
      <c r="AI126">
        <f>fpl_player_statistics_cleaned[[#This Row],[Goals Scored]] + fpl_player_statistics_cleaned[[#This Row],[Assists]]</f>
        <v>2</v>
      </c>
      <c r="AJ126">
        <f>fpl_player_statistics_cleaned[[#This Row],[Total Points]] / fpl_player_statistics_cleaned[[#This Row],[Starts]]</f>
        <v>3.5555555555555554</v>
      </c>
      <c r="AK126">
        <f>((fpl_player_statistics_cleaned[[#This Row],[Points Per Game]]) * fpl_player_statistics_cleaned[[#This Row],[Form]]) / fpl_player_statistics_cleaned[[#This Row],[Now Cost]]</f>
        <v>2.16</v>
      </c>
      <c r="AL126">
        <f>fpl_player_statistics_cleaned[[#This Row],[Minutes]] / fpl_player_statistics_cleaned[[#This Row],[Total Points]]</f>
        <v>23.6875</v>
      </c>
      <c r="AM12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69.12</v>
      </c>
    </row>
    <row r="127" spans="1:39" x14ac:dyDescent="0.2">
      <c r="A127" t="s">
        <v>169</v>
      </c>
      <c r="B127" t="s">
        <v>46</v>
      </c>
      <c r="C127" t="s">
        <v>38</v>
      </c>
      <c r="D127">
        <v>4.9000000000000004</v>
      </c>
      <c r="E127">
        <v>32</v>
      </c>
      <c r="F127">
        <v>2.9</v>
      </c>
      <c r="G127">
        <v>1.1000000000000001</v>
      </c>
      <c r="H127">
        <v>0</v>
      </c>
      <c r="I127">
        <v>0</v>
      </c>
      <c r="J127">
        <v>990</v>
      </c>
      <c r="K127">
        <v>2</v>
      </c>
      <c r="L127">
        <v>17</v>
      </c>
      <c r="M127">
        <v>0</v>
      </c>
      <c r="N127">
        <v>2</v>
      </c>
      <c r="O127">
        <v>38.299999999999997</v>
      </c>
      <c r="P127">
        <v>3.5</v>
      </c>
      <c r="Q127">
        <v>0</v>
      </c>
      <c r="R127">
        <v>0.7</v>
      </c>
      <c r="S127">
        <v>6.5</v>
      </c>
      <c r="T127">
        <v>0.37</v>
      </c>
      <c r="U127">
        <v>0.73</v>
      </c>
      <c r="V127">
        <v>1.1000000000000001</v>
      </c>
      <c r="W127">
        <v>13.51</v>
      </c>
      <c r="X127">
        <v>11</v>
      </c>
      <c r="Y127" t="s">
        <v>1000</v>
      </c>
      <c r="Z127">
        <v>319</v>
      </c>
      <c r="AA127">
        <v>52</v>
      </c>
      <c r="AB127">
        <v>100</v>
      </c>
      <c r="AC127">
        <v>37</v>
      </c>
      <c r="AD127">
        <v>171</v>
      </c>
      <c r="AE127">
        <v>63</v>
      </c>
      <c r="AF127">
        <v>173</v>
      </c>
      <c r="AG127">
        <v>66</v>
      </c>
      <c r="AH127">
        <f>fpl_player_statistics_cleaned[[#This Row],[Total Points]] / fpl_player_statistics_cleaned[[#This Row],[Now Cost]]</f>
        <v>6.5306122448979584</v>
      </c>
      <c r="AI127">
        <f>fpl_player_statistics_cleaned[[#This Row],[Goals Scored]] + fpl_player_statistics_cleaned[[#This Row],[Assists]]</f>
        <v>0</v>
      </c>
      <c r="AJ127">
        <f>fpl_player_statistics_cleaned[[#This Row],[Total Points]] / fpl_player_statistics_cleaned[[#This Row],[Starts]]</f>
        <v>2.9090909090909092</v>
      </c>
      <c r="AK127">
        <f>((fpl_player_statistics_cleaned[[#This Row],[Points Per Game]]) * fpl_player_statistics_cleaned[[#This Row],[Form]]) / fpl_player_statistics_cleaned[[#This Row],[Now Cost]]</f>
        <v>2.0714285714285712</v>
      </c>
      <c r="AL127">
        <f>fpl_player_statistics_cleaned[[#This Row],[Minutes]] / fpl_player_statistics_cleaned[[#This Row],[Total Points]]</f>
        <v>30.9375</v>
      </c>
      <c r="AM12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66.285714285714278</v>
      </c>
    </row>
    <row r="128" spans="1:39" x14ac:dyDescent="0.2">
      <c r="A128" t="s">
        <v>170</v>
      </c>
      <c r="B128" t="s">
        <v>72</v>
      </c>
      <c r="C128" t="s">
        <v>41</v>
      </c>
      <c r="D128">
        <v>5.4</v>
      </c>
      <c r="E128">
        <v>32</v>
      </c>
      <c r="F128">
        <v>2.9</v>
      </c>
      <c r="G128">
        <v>1.3</v>
      </c>
      <c r="H128">
        <v>0</v>
      </c>
      <c r="I128">
        <v>1</v>
      </c>
      <c r="J128">
        <v>869</v>
      </c>
      <c r="K128">
        <v>5</v>
      </c>
      <c r="L128">
        <v>9</v>
      </c>
      <c r="M128">
        <v>0</v>
      </c>
      <c r="N128">
        <v>1</v>
      </c>
      <c r="O128">
        <v>46.9</v>
      </c>
      <c r="P128">
        <v>2.2000000000000002</v>
      </c>
      <c r="Q128">
        <v>0</v>
      </c>
      <c r="R128">
        <v>0.4</v>
      </c>
      <c r="S128">
        <v>5.9</v>
      </c>
      <c r="T128">
        <v>0.45</v>
      </c>
      <c r="U128">
        <v>1.1100000000000001</v>
      </c>
      <c r="V128">
        <v>1.56</v>
      </c>
      <c r="W128">
        <v>8.14</v>
      </c>
      <c r="X128">
        <v>10</v>
      </c>
      <c r="Y128" t="s">
        <v>1000</v>
      </c>
      <c r="Z128">
        <v>171</v>
      </c>
      <c r="AA128">
        <v>105</v>
      </c>
      <c r="AB128">
        <v>175</v>
      </c>
      <c r="AC128">
        <v>82</v>
      </c>
      <c r="AD128">
        <v>174</v>
      </c>
      <c r="AE128">
        <v>78</v>
      </c>
      <c r="AF128">
        <v>159</v>
      </c>
      <c r="AG128">
        <v>55</v>
      </c>
      <c r="AH128">
        <f>fpl_player_statistics_cleaned[[#This Row],[Total Points]] / fpl_player_statistics_cleaned[[#This Row],[Now Cost]]</f>
        <v>5.9259259259259256</v>
      </c>
      <c r="AI128">
        <f>fpl_player_statistics_cleaned[[#This Row],[Goals Scored]] + fpl_player_statistics_cleaned[[#This Row],[Assists]]</f>
        <v>1</v>
      </c>
      <c r="AJ128">
        <f>fpl_player_statistics_cleaned[[#This Row],[Total Points]] / fpl_player_statistics_cleaned[[#This Row],[Starts]]</f>
        <v>3.2</v>
      </c>
      <c r="AK128">
        <f>((fpl_player_statistics_cleaned[[#This Row],[Points Per Game]]) * fpl_player_statistics_cleaned[[#This Row],[Form]]) / fpl_player_statistics_cleaned[[#This Row],[Now Cost]]</f>
        <v>1.1814814814814814</v>
      </c>
      <c r="AL128">
        <f>fpl_player_statistics_cleaned[[#This Row],[Minutes]] / fpl_player_statistics_cleaned[[#This Row],[Total Points]]</f>
        <v>27.15625</v>
      </c>
      <c r="AM12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37.80740740740741</v>
      </c>
    </row>
    <row r="129" spans="1:39" x14ac:dyDescent="0.2">
      <c r="A129" t="s">
        <v>171</v>
      </c>
      <c r="B129" t="s">
        <v>65</v>
      </c>
      <c r="C129" t="s">
        <v>41</v>
      </c>
      <c r="D129">
        <v>5</v>
      </c>
      <c r="E129">
        <v>32</v>
      </c>
      <c r="F129">
        <v>3.2</v>
      </c>
      <c r="G129">
        <v>0.1</v>
      </c>
      <c r="H129">
        <v>2</v>
      </c>
      <c r="I129">
        <v>1</v>
      </c>
      <c r="J129">
        <v>588</v>
      </c>
      <c r="K129">
        <v>2</v>
      </c>
      <c r="L129">
        <v>11</v>
      </c>
      <c r="M129">
        <v>0</v>
      </c>
      <c r="N129">
        <v>3</v>
      </c>
      <c r="O129">
        <v>24.8</v>
      </c>
      <c r="P129">
        <v>4.8</v>
      </c>
      <c r="Q129">
        <v>0</v>
      </c>
      <c r="R129">
        <v>1</v>
      </c>
      <c r="S129">
        <v>6.4</v>
      </c>
      <c r="T129">
        <v>0.94</v>
      </c>
      <c r="U129">
        <v>0.09</v>
      </c>
      <c r="V129">
        <v>1.03</v>
      </c>
      <c r="W129">
        <v>14.83</v>
      </c>
      <c r="X129">
        <v>7</v>
      </c>
      <c r="Y129" t="s">
        <v>1000</v>
      </c>
      <c r="Z129">
        <v>279</v>
      </c>
      <c r="AA129">
        <v>173</v>
      </c>
      <c r="AB129">
        <v>51</v>
      </c>
      <c r="AC129">
        <v>26</v>
      </c>
      <c r="AD129">
        <v>147</v>
      </c>
      <c r="AE129">
        <v>65</v>
      </c>
      <c r="AF129">
        <v>401</v>
      </c>
      <c r="AG129">
        <v>135</v>
      </c>
      <c r="AH129">
        <f>fpl_player_statistics_cleaned[[#This Row],[Total Points]] / fpl_player_statistics_cleaned[[#This Row],[Now Cost]]</f>
        <v>6.4</v>
      </c>
      <c r="AI129">
        <f>fpl_player_statistics_cleaned[[#This Row],[Goals Scored]] + fpl_player_statistics_cleaned[[#This Row],[Assists]]</f>
        <v>3</v>
      </c>
      <c r="AJ129">
        <f>fpl_player_statistics_cleaned[[#This Row],[Total Points]] / fpl_player_statistics_cleaned[[#This Row],[Starts]]</f>
        <v>4.5714285714285712</v>
      </c>
      <c r="AK129">
        <f>((fpl_player_statistics_cleaned[[#This Row],[Points Per Game]]) * fpl_player_statistics_cleaned[[#This Row],[Form]]) / fpl_player_statistics_cleaned[[#This Row],[Now Cost]]</f>
        <v>3.0720000000000001</v>
      </c>
      <c r="AL129">
        <f>fpl_player_statistics_cleaned[[#This Row],[Minutes]] / fpl_player_statistics_cleaned[[#This Row],[Total Points]]</f>
        <v>18.375</v>
      </c>
      <c r="AM12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98.304000000000002</v>
      </c>
    </row>
    <row r="130" spans="1:39" x14ac:dyDescent="0.2">
      <c r="A130" t="s">
        <v>172</v>
      </c>
      <c r="B130" t="s">
        <v>122</v>
      </c>
      <c r="C130" t="s">
        <v>41</v>
      </c>
      <c r="D130">
        <v>5.7</v>
      </c>
      <c r="E130">
        <v>32</v>
      </c>
      <c r="F130">
        <v>3.2</v>
      </c>
      <c r="G130">
        <v>1.2</v>
      </c>
      <c r="H130">
        <v>1</v>
      </c>
      <c r="I130">
        <v>2</v>
      </c>
      <c r="J130">
        <v>755</v>
      </c>
      <c r="K130">
        <v>0</v>
      </c>
      <c r="L130">
        <v>13</v>
      </c>
      <c r="M130">
        <v>0</v>
      </c>
      <c r="N130">
        <v>4</v>
      </c>
      <c r="O130">
        <v>34.4</v>
      </c>
      <c r="P130">
        <v>2</v>
      </c>
      <c r="Q130">
        <v>0</v>
      </c>
      <c r="R130">
        <v>0.4</v>
      </c>
      <c r="S130">
        <v>5.6</v>
      </c>
      <c r="T130">
        <v>0.34</v>
      </c>
      <c r="U130">
        <v>1.17</v>
      </c>
      <c r="V130">
        <v>1.51</v>
      </c>
      <c r="W130">
        <v>9.76</v>
      </c>
      <c r="X130">
        <v>10</v>
      </c>
      <c r="Y130" t="s">
        <v>1000</v>
      </c>
      <c r="Z130">
        <v>123</v>
      </c>
      <c r="AA130">
        <v>80</v>
      </c>
      <c r="AB130">
        <v>192</v>
      </c>
      <c r="AC130">
        <v>94</v>
      </c>
      <c r="AD130">
        <v>150</v>
      </c>
      <c r="AE130">
        <v>68</v>
      </c>
      <c r="AF130">
        <v>163</v>
      </c>
      <c r="AG130">
        <v>57</v>
      </c>
      <c r="AH130">
        <f>fpl_player_statistics_cleaned[[#This Row],[Total Points]] / fpl_player_statistics_cleaned[[#This Row],[Now Cost]]</f>
        <v>5.6140350877192979</v>
      </c>
      <c r="AI130">
        <f>fpl_player_statistics_cleaned[[#This Row],[Goals Scored]] + fpl_player_statistics_cleaned[[#This Row],[Assists]]</f>
        <v>3</v>
      </c>
      <c r="AJ130">
        <f>fpl_player_statistics_cleaned[[#This Row],[Total Points]] / fpl_player_statistics_cleaned[[#This Row],[Starts]]</f>
        <v>3.2</v>
      </c>
      <c r="AK130">
        <f>((fpl_player_statistics_cleaned[[#This Row],[Points Per Game]]) * fpl_player_statistics_cleaned[[#This Row],[Form]]) / fpl_player_statistics_cleaned[[#This Row],[Now Cost]]</f>
        <v>1.1228070175438596</v>
      </c>
      <c r="AL130">
        <f>fpl_player_statistics_cleaned[[#This Row],[Minutes]] / fpl_player_statistics_cleaned[[#This Row],[Total Points]]</f>
        <v>23.59375</v>
      </c>
      <c r="AM13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35.929824561403507</v>
      </c>
    </row>
    <row r="131" spans="1:39" x14ac:dyDescent="0.2">
      <c r="A131" t="s">
        <v>173</v>
      </c>
      <c r="B131" t="s">
        <v>72</v>
      </c>
      <c r="C131" t="s">
        <v>38</v>
      </c>
      <c r="D131">
        <v>4.9000000000000004</v>
      </c>
      <c r="E131">
        <v>31</v>
      </c>
      <c r="F131">
        <v>3.4</v>
      </c>
      <c r="G131">
        <v>0.6</v>
      </c>
      <c r="H131">
        <v>0</v>
      </c>
      <c r="I131">
        <v>0</v>
      </c>
      <c r="J131">
        <v>642</v>
      </c>
      <c r="K131">
        <v>3</v>
      </c>
      <c r="L131">
        <v>10</v>
      </c>
      <c r="M131">
        <v>0</v>
      </c>
      <c r="N131">
        <v>4</v>
      </c>
      <c r="O131">
        <v>23.7</v>
      </c>
      <c r="P131">
        <v>1.2</v>
      </c>
      <c r="Q131">
        <v>0</v>
      </c>
      <c r="R131">
        <v>0.2</v>
      </c>
      <c r="S131">
        <v>6.3</v>
      </c>
      <c r="T131">
        <v>0.13</v>
      </c>
      <c r="U131">
        <v>0.25</v>
      </c>
      <c r="V131">
        <v>0.38</v>
      </c>
      <c r="W131">
        <v>8.82</v>
      </c>
      <c r="X131">
        <v>8</v>
      </c>
      <c r="Y131" t="s">
        <v>1000</v>
      </c>
      <c r="Z131">
        <v>309</v>
      </c>
      <c r="AA131">
        <v>48</v>
      </c>
      <c r="AB131">
        <v>248</v>
      </c>
      <c r="AC131">
        <v>83</v>
      </c>
      <c r="AD131">
        <v>128</v>
      </c>
      <c r="AE131">
        <v>46</v>
      </c>
      <c r="AF131">
        <v>220</v>
      </c>
      <c r="AG131">
        <v>81</v>
      </c>
      <c r="AH131">
        <f>fpl_player_statistics_cleaned[[#This Row],[Total Points]] / fpl_player_statistics_cleaned[[#This Row],[Now Cost]]</f>
        <v>6.3265306122448974</v>
      </c>
      <c r="AI131">
        <f>fpl_player_statistics_cleaned[[#This Row],[Goals Scored]] + fpl_player_statistics_cleaned[[#This Row],[Assists]]</f>
        <v>0</v>
      </c>
      <c r="AJ131">
        <f>fpl_player_statistics_cleaned[[#This Row],[Total Points]] / fpl_player_statistics_cleaned[[#This Row],[Starts]]</f>
        <v>3.875</v>
      </c>
      <c r="AK131">
        <f>((fpl_player_statistics_cleaned[[#This Row],[Points Per Game]]) * fpl_player_statistics_cleaned[[#This Row],[Form]]) / fpl_player_statistics_cleaned[[#This Row],[Now Cost]]</f>
        <v>0.83265306122448979</v>
      </c>
      <c r="AL131">
        <f>fpl_player_statistics_cleaned[[#This Row],[Minutes]] / fpl_player_statistics_cleaned[[#This Row],[Total Points]]</f>
        <v>20.70967741935484</v>
      </c>
      <c r="AM13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25.812244897959179</v>
      </c>
    </row>
    <row r="132" spans="1:39" hidden="1" x14ac:dyDescent="0.2">
      <c r="A132" t="s">
        <v>921</v>
      </c>
      <c r="B132" t="s">
        <v>49</v>
      </c>
      <c r="C132" t="s">
        <v>35</v>
      </c>
      <c r="D132">
        <v>7.3</v>
      </c>
      <c r="E132">
        <v>31</v>
      </c>
      <c r="F132">
        <v>2.8</v>
      </c>
      <c r="G132">
        <v>4.8</v>
      </c>
      <c r="H132">
        <v>2</v>
      </c>
      <c r="I132">
        <v>1</v>
      </c>
      <c r="J132">
        <v>616</v>
      </c>
      <c r="K132">
        <v>1</v>
      </c>
      <c r="L132">
        <v>13</v>
      </c>
      <c r="M132">
        <v>0</v>
      </c>
      <c r="N132">
        <v>5</v>
      </c>
      <c r="O132">
        <v>43.5</v>
      </c>
      <c r="P132">
        <v>2</v>
      </c>
      <c r="Q132">
        <v>1</v>
      </c>
      <c r="R132">
        <v>0.3</v>
      </c>
      <c r="S132">
        <v>4.2</v>
      </c>
      <c r="T132">
        <v>1.97</v>
      </c>
      <c r="U132">
        <v>0.16</v>
      </c>
      <c r="V132">
        <v>2.13</v>
      </c>
      <c r="W132">
        <v>10.8</v>
      </c>
      <c r="X132">
        <v>6</v>
      </c>
      <c r="Y132" t="s">
        <v>87</v>
      </c>
      <c r="Z132">
        <v>29</v>
      </c>
      <c r="AA132">
        <v>12</v>
      </c>
      <c r="AB132">
        <v>198</v>
      </c>
      <c r="AC132">
        <v>20</v>
      </c>
      <c r="AD132">
        <v>189</v>
      </c>
      <c r="AE132">
        <v>19</v>
      </c>
      <c r="AF132">
        <v>73</v>
      </c>
      <c r="AG132">
        <v>14</v>
      </c>
      <c r="AI132">
        <v>5.8</v>
      </c>
    </row>
    <row r="133" spans="1:39" x14ac:dyDescent="0.2">
      <c r="A133" t="s">
        <v>174</v>
      </c>
      <c r="B133" t="s">
        <v>97</v>
      </c>
      <c r="C133" t="s">
        <v>38</v>
      </c>
      <c r="D133">
        <v>4.3</v>
      </c>
      <c r="E133">
        <v>31</v>
      </c>
      <c r="F133">
        <v>2.8</v>
      </c>
      <c r="G133">
        <v>3.1</v>
      </c>
      <c r="H133">
        <v>0</v>
      </c>
      <c r="I133">
        <v>4</v>
      </c>
      <c r="J133">
        <v>945</v>
      </c>
      <c r="K133">
        <v>1</v>
      </c>
      <c r="L133">
        <v>22</v>
      </c>
      <c r="M133">
        <v>0</v>
      </c>
      <c r="N133">
        <v>1</v>
      </c>
      <c r="O133">
        <v>38.6</v>
      </c>
      <c r="P133">
        <v>1.2</v>
      </c>
      <c r="Q133">
        <v>0</v>
      </c>
      <c r="R133">
        <v>0.3</v>
      </c>
      <c r="S133">
        <v>7.2</v>
      </c>
      <c r="T133">
        <v>0.22</v>
      </c>
      <c r="U133">
        <v>0.79</v>
      </c>
      <c r="V133">
        <v>1.01</v>
      </c>
      <c r="W133">
        <v>15.16</v>
      </c>
      <c r="X133">
        <v>10</v>
      </c>
      <c r="Y133" t="s">
        <v>1000</v>
      </c>
      <c r="Z133">
        <v>608</v>
      </c>
      <c r="AA133">
        <v>156</v>
      </c>
      <c r="AB133">
        <v>241</v>
      </c>
      <c r="AC133">
        <v>77</v>
      </c>
      <c r="AD133">
        <v>177</v>
      </c>
      <c r="AE133">
        <v>64</v>
      </c>
      <c r="AF133">
        <v>99</v>
      </c>
      <c r="AG133">
        <v>35</v>
      </c>
      <c r="AH133">
        <f>fpl_player_statistics_cleaned[[#This Row],[Total Points]] / fpl_player_statistics_cleaned[[#This Row],[Now Cost]]</f>
        <v>7.2093023255813957</v>
      </c>
      <c r="AI133">
        <f>fpl_player_statistics_cleaned[[#This Row],[Goals Scored]] + fpl_player_statistics_cleaned[[#This Row],[Assists]]</f>
        <v>4</v>
      </c>
      <c r="AJ133">
        <f>fpl_player_statistics_cleaned[[#This Row],[Total Points]] / fpl_player_statistics_cleaned[[#This Row],[Starts]]</f>
        <v>3.1</v>
      </c>
      <c r="AK133">
        <f>((fpl_player_statistics_cleaned[[#This Row],[Points Per Game]]) * fpl_player_statistics_cleaned[[#This Row],[Form]]) / fpl_player_statistics_cleaned[[#This Row],[Now Cost]]</f>
        <v>0.78139534883720929</v>
      </c>
      <c r="AL133">
        <f>fpl_player_statistics_cleaned[[#This Row],[Minutes]] / fpl_player_statistics_cleaned[[#This Row],[Total Points]]</f>
        <v>30.483870967741936</v>
      </c>
      <c r="AM13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24.223255813953486</v>
      </c>
    </row>
    <row r="134" spans="1:39" x14ac:dyDescent="0.2">
      <c r="A134" t="s">
        <v>175</v>
      </c>
      <c r="B134" t="s">
        <v>34</v>
      </c>
      <c r="C134" t="s">
        <v>41</v>
      </c>
      <c r="D134">
        <v>8</v>
      </c>
      <c r="E134">
        <v>31</v>
      </c>
      <c r="F134">
        <v>3.4</v>
      </c>
      <c r="G134">
        <v>4.4000000000000004</v>
      </c>
      <c r="H134">
        <v>1</v>
      </c>
      <c r="I134">
        <v>1</v>
      </c>
      <c r="J134">
        <v>711</v>
      </c>
      <c r="K134">
        <v>5</v>
      </c>
      <c r="L134">
        <v>3</v>
      </c>
      <c r="M134">
        <v>0</v>
      </c>
      <c r="N134">
        <v>2</v>
      </c>
      <c r="O134">
        <v>59.7</v>
      </c>
      <c r="P134">
        <v>2.8</v>
      </c>
      <c r="Q134">
        <v>1</v>
      </c>
      <c r="R134">
        <v>0.4</v>
      </c>
      <c r="S134">
        <v>3.9</v>
      </c>
      <c r="T134">
        <v>1.21</v>
      </c>
      <c r="U134">
        <v>1.6</v>
      </c>
      <c r="V134">
        <v>2.81</v>
      </c>
      <c r="W134">
        <v>6.87</v>
      </c>
      <c r="X134">
        <v>8</v>
      </c>
      <c r="Y134" t="s">
        <v>1000</v>
      </c>
      <c r="Z134">
        <v>14</v>
      </c>
      <c r="AA134">
        <v>9</v>
      </c>
      <c r="AB134">
        <v>146</v>
      </c>
      <c r="AC134">
        <v>63</v>
      </c>
      <c r="AD134">
        <v>133</v>
      </c>
      <c r="AE134">
        <v>61</v>
      </c>
      <c r="AF134">
        <v>81</v>
      </c>
      <c r="AG134">
        <v>26</v>
      </c>
      <c r="AH134">
        <f>fpl_player_statistics_cleaned[[#This Row],[Total Points]] / fpl_player_statistics_cleaned[[#This Row],[Now Cost]]</f>
        <v>3.875</v>
      </c>
      <c r="AI134">
        <f>fpl_player_statistics_cleaned[[#This Row],[Goals Scored]] + fpl_player_statistics_cleaned[[#This Row],[Assists]]</f>
        <v>2</v>
      </c>
      <c r="AJ134">
        <f>fpl_player_statistics_cleaned[[#This Row],[Total Points]] / fpl_player_statistics_cleaned[[#This Row],[Starts]]</f>
        <v>3.875</v>
      </c>
      <c r="AK134">
        <f>((fpl_player_statistics_cleaned[[#This Row],[Points Per Game]]) * fpl_player_statistics_cleaned[[#This Row],[Form]]) / fpl_player_statistics_cleaned[[#This Row],[Now Cost]]</f>
        <v>1.19</v>
      </c>
      <c r="AL134">
        <f>fpl_player_statistics_cleaned[[#This Row],[Minutes]] / fpl_player_statistics_cleaned[[#This Row],[Total Points]]</f>
        <v>22.93548387096774</v>
      </c>
      <c r="AM13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36.89</v>
      </c>
    </row>
    <row r="135" spans="1:39" x14ac:dyDescent="0.2">
      <c r="A135" t="s">
        <v>176</v>
      </c>
      <c r="B135" t="s">
        <v>34</v>
      </c>
      <c r="C135" t="s">
        <v>55</v>
      </c>
      <c r="D135">
        <v>5.7</v>
      </c>
      <c r="E135">
        <v>31</v>
      </c>
      <c r="F135">
        <v>3.9</v>
      </c>
      <c r="G135">
        <v>10</v>
      </c>
      <c r="H135">
        <v>0</v>
      </c>
      <c r="I135">
        <v>0</v>
      </c>
      <c r="J135">
        <v>720</v>
      </c>
      <c r="K135">
        <v>4</v>
      </c>
      <c r="L135">
        <v>4</v>
      </c>
      <c r="M135">
        <v>15</v>
      </c>
      <c r="N135">
        <v>0</v>
      </c>
      <c r="O135">
        <v>10.199999999999999</v>
      </c>
      <c r="P135">
        <v>4</v>
      </c>
      <c r="Q135">
        <v>0</v>
      </c>
      <c r="R135">
        <v>0.7</v>
      </c>
      <c r="S135">
        <v>5.4</v>
      </c>
      <c r="T135">
        <v>0</v>
      </c>
      <c r="U135">
        <v>0</v>
      </c>
      <c r="V135">
        <v>0</v>
      </c>
      <c r="W135">
        <v>6.76</v>
      </c>
      <c r="X135">
        <v>8</v>
      </c>
      <c r="Y135" t="s">
        <v>1000</v>
      </c>
      <c r="Z135">
        <v>119</v>
      </c>
      <c r="AA135">
        <v>2</v>
      </c>
      <c r="AB135">
        <v>82</v>
      </c>
      <c r="AC135">
        <v>6</v>
      </c>
      <c r="AD135">
        <v>86</v>
      </c>
      <c r="AE135">
        <v>7</v>
      </c>
      <c r="AF135">
        <v>39</v>
      </c>
      <c r="AG135">
        <v>5</v>
      </c>
      <c r="AH135">
        <f>fpl_player_statistics_cleaned[[#This Row],[Total Points]] / fpl_player_statistics_cleaned[[#This Row],[Now Cost]]</f>
        <v>5.4385964912280702</v>
      </c>
      <c r="AI135">
        <f>fpl_player_statistics_cleaned[[#This Row],[Goals Scored]] + fpl_player_statistics_cleaned[[#This Row],[Assists]]</f>
        <v>0</v>
      </c>
      <c r="AJ135">
        <f>fpl_player_statistics_cleaned[[#This Row],[Total Points]] / fpl_player_statistics_cleaned[[#This Row],[Starts]]</f>
        <v>3.875</v>
      </c>
      <c r="AK135">
        <f>((fpl_player_statistics_cleaned[[#This Row],[Points Per Game]]) * fpl_player_statistics_cleaned[[#This Row],[Form]]) / fpl_player_statistics_cleaned[[#This Row],[Now Cost]]</f>
        <v>2.736842105263158</v>
      </c>
      <c r="AL135">
        <f>fpl_player_statistics_cleaned[[#This Row],[Minutes]] / fpl_player_statistics_cleaned[[#This Row],[Total Points]]</f>
        <v>23.225806451612904</v>
      </c>
      <c r="AM13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84.84210526315789</v>
      </c>
    </row>
    <row r="136" spans="1:39" x14ac:dyDescent="0.2">
      <c r="A136" t="s">
        <v>177</v>
      </c>
      <c r="B136" t="s">
        <v>51</v>
      </c>
      <c r="C136" t="s">
        <v>38</v>
      </c>
      <c r="D136">
        <v>4.5</v>
      </c>
      <c r="E136">
        <v>31</v>
      </c>
      <c r="F136">
        <v>3.1</v>
      </c>
      <c r="G136">
        <v>1.6</v>
      </c>
      <c r="H136">
        <v>0</v>
      </c>
      <c r="I136">
        <v>0</v>
      </c>
      <c r="J136">
        <v>758</v>
      </c>
      <c r="K136">
        <v>4</v>
      </c>
      <c r="L136">
        <v>7</v>
      </c>
      <c r="M136">
        <v>0</v>
      </c>
      <c r="N136">
        <v>0</v>
      </c>
      <c r="O136">
        <v>18.100000000000001</v>
      </c>
      <c r="P136">
        <v>2.5</v>
      </c>
      <c r="Q136">
        <v>0</v>
      </c>
      <c r="R136">
        <v>0.6</v>
      </c>
      <c r="S136">
        <v>6.9</v>
      </c>
      <c r="T136">
        <v>0.18</v>
      </c>
      <c r="U136">
        <v>0.22</v>
      </c>
      <c r="V136">
        <v>0.4</v>
      </c>
      <c r="W136">
        <v>11.71</v>
      </c>
      <c r="X136">
        <v>9</v>
      </c>
      <c r="Y136" t="s">
        <v>1000</v>
      </c>
      <c r="Z136">
        <v>412</v>
      </c>
      <c r="AA136">
        <v>82</v>
      </c>
      <c r="AB136">
        <v>150</v>
      </c>
      <c r="AC136">
        <v>56</v>
      </c>
      <c r="AD136">
        <v>154</v>
      </c>
      <c r="AE136">
        <v>56</v>
      </c>
      <c r="AF136">
        <v>145</v>
      </c>
      <c r="AG136">
        <v>57</v>
      </c>
      <c r="AH136">
        <f>fpl_player_statistics_cleaned[[#This Row],[Total Points]] / fpl_player_statistics_cleaned[[#This Row],[Now Cost]]</f>
        <v>6.8888888888888893</v>
      </c>
      <c r="AI136">
        <f>fpl_player_statistics_cleaned[[#This Row],[Goals Scored]] + fpl_player_statistics_cleaned[[#This Row],[Assists]]</f>
        <v>0</v>
      </c>
      <c r="AJ136">
        <f>fpl_player_statistics_cleaned[[#This Row],[Total Points]] / fpl_player_statistics_cleaned[[#This Row],[Starts]]</f>
        <v>3.4444444444444446</v>
      </c>
      <c r="AK136">
        <f>((fpl_player_statistics_cleaned[[#This Row],[Points Per Game]]) * fpl_player_statistics_cleaned[[#This Row],[Form]]) / fpl_player_statistics_cleaned[[#This Row],[Now Cost]]</f>
        <v>1.7222222222222223</v>
      </c>
      <c r="AL136">
        <f>fpl_player_statistics_cleaned[[#This Row],[Minutes]] / fpl_player_statistics_cleaned[[#This Row],[Total Points]]</f>
        <v>24.451612903225808</v>
      </c>
      <c r="AM13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53.388888888888886</v>
      </c>
    </row>
    <row r="137" spans="1:39" x14ac:dyDescent="0.2">
      <c r="A137" t="s">
        <v>922</v>
      </c>
      <c r="B137" t="s">
        <v>40</v>
      </c>
      <c r="C137" t="s">
        <v>38</v>
      </c>
      <c r="D137">
        <v>4.5</v>
      </c>
      <c r="E137">
        <v>30</v>
      </c>
      <c r="F137">
        <v>3.8</v>
      </c>
      <c r="G137">
        <v>0.4</v>
      </c>
      <c r="H137">
        <v>0</v>
      </c>
      <c r="I137">
        <v>0</v>
      </c>
      <c r="J137">
        <v>720</v>
      </c>
      <c r="K137">
        <v>3</v>
      </c>
      <c r="L137">
        <v>13</v>
      </c>
      <c r="M137">
        <v>0</v>
      </c>
      <c r="N137">
        <v>2</v>
      </c>
      <c r="O137">
        <v>21.3</v>
      </c>
      <c r="P137">
        <v>1</v>
      </c>
      <c r="Q137">
        <v>1</v>
      </c>
      <c r="R137">
        <v>0.2</v>
      </c>
      <c r="S137">
        <v>6.7</v>
      </c>
      <c r="T137">
        <v>0</v>
      </c>
      <c r="U137">
        <v>0.09</v>
      </c>
      <c r="V137">
        <v>0.09</v>
      </c>
      <c r="W137">
        <v>12.38</v>
      </c>
      <c r="X137">
        <v>8</v>
      </c>
      <c r="Y137" t="s">
        <v>1000</v>
      </c>
      <c r="Z137">
        <v>415</v>
      </c>
      <c r="AA137">
        <v>84</v>
      </c>
      <c r="AB137">
        <v>266</v>
      </c>
      <c r="AC137">
        <v>91</v>
      </c>
      <c r="AD137">
        <v>92</v>
      </c>
      <c r="AE137">
        <v>38</v>
      </c>
      <c r="AF137">
        <v>253</v>
      </c>
      <c r="AG137">
        <v>94</v>
      </c>
      <c r="AH137">
        <f>fpl_player_statistics_cleaned[[#This Row],[Total Points]] / fpl_player_statistics_cleaned[[#This Row],[Now Cost]]</f>
        <v>6.666666666666667</v>
      </c>
      <c r="AI137">
        <f>fpl_player_statistics_cleaned[[#This Row],[Goals Scored]] + fpl_player_statistics_cleaned[[#This Row],[Assists]]</f>
        <v>0</v>
      </c>
      <c r="AJ137">
        <f>fpl_player_statistics_cleaned[[#This Row],[Total Points]] / fpl_player_statistics_cleaned[[#This Row],[Starts]]</f>
        <v>3.75</v>
      </c>
      <c r="AK137">
        <f>((fpl_player_statistics_cleaned[[#This Row],[Points Per Game]]) * fpl_player_statistics_cleaned[[#This Row],[Form]]) / fpl_player_statistics_cleaned[[#This Row],[Now Cost]]</f>
        <v>0.84444444444444444</v>
      </c>
      <c r="AL137">
        <f>fpl_player_statistics_cleaned[[#This Row],[Minutes]] / fpl_player_statistics_cleaned[[#This Row],[Total Points]]</f>
        <v>24</v>
      </c>
      <c r="AM13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25.333333333333332</v>
      </c>
    </row>
    <row r="138" spans="1:39" x14ac:dyDescent="0.2">
      <c r="A138" t="s">
        <v>178</v>
      </c>
      <c r="B138" t="s">
        <v>70</v>
      </c>
      <c r="C138" t="s">
        <v>41</v>
      </c>
      <c r="D138">
        <v>5.4</v>
      </c>
      <c r="E138">
        <v>30</v>
      </c>
      <c r="F138">
        <v>2.7</v>
      </c>
      <c r="G138">
        <v>0.6</v>
      </c>
      <c r="H138">
        <v>1</v>
      </c>
      <c r="I138">
        <v>0</v>
      </c>
      <c r="J138">
        <v>837</v>
      </c>
      <c r="K138">
        <v>5</v>
      </c>
      <c r="L138">
        <v>8</v>
      </c>
      <c r="M138">
        <v>0</v>
      </c>
      <c r="N138">
        <v>0</v>
      </c>
      <c r="O138">
        <v>41.4</v>
      </c>
      <c r="P138">
        <v>2.2000000000000002</v>
      </c>
      <c r="Q138">
        <v>0</v>
      </c>
      <c r="R138">
        <v>0.4</v>
      </c>
      <c r="S138">
        <v>5.6</v>
      </c>
      <c r="T138">
        <v>0.96</v>
      </c>
      <c r="U138">
        <v>1.24</v>
      </c>
      <c r="V138">
        <v>2.2000000000000002</v>
      </c>
      <c r="W138">
        <v>12.11</v>
      </c>
      <c r="X138">
        <v>11</v>
      </c>
      <c r="Y138" t="s">
        <v>1000</v>
      </c>
      <c r="Z138">
        <v>159</v>
      </c>
      <c r="AA138">
        <v>98</v>
      </c>
      <c r="AB138">
        <v>174</v>
      </c>
      <c r="AC138">
        <v>81</v>
      </c>
      <c r="AD138">
        <v>192</v>
      </c>
      <c r="AE138">
        <v>85</v>
      </c>
      <c r="AF138">
        <v>215</v>
      </c>
      <c r="AG138">
        <v>74</v>
      </c>
      <c r="AH138">
        <f>fpl_player_statistics_cleaned[[#This Row],[Total Points]] / fpl_player_statistics_cleaned[[#This Row],[Now Cost]]</f>
        <v>5.5555555555555554</v>
      </c>
      <c r="AI138">
        <f>fpl_player_statistics_cleaned[[#This Row],[Goals Scored]] + fpl_player_statistics_cleaned[[#This Row],[Assists]]</f>
        <v>1</v>
      </c>
      <c r="AJ138">
        <f>fpl_player_statistics_cleaned[[#This Row],[Total Points]] / fpl_player_statistics_cleaned[[#This Row],[Starts]]</f>
        <v>2.7272727272727271</v>
      </c>
      <c r="AK138">
        <f>((fpl_player_statistics_cleaned[[#This Row],[Points Per Game]]) * fpl_player_statistics_cleaned[[#This Row],[Form]]) / fpl_player_statistics_cleaned[[#This Row],[Now Cost]]</f>
        <v>1.1000000000000001</v>
      </c>
      <c r="AL138">
        <f>fpl_player_statistics_cleaned[[#This Row],[Minutes]] / fpl_player_statistics_cleaned[[#This Row],[Total Points]]</f>
        <v>27.9</v>
      </c>
      <c r="AM13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33</v>
      </c>
    </row>
    <row r="139" spans="1:39" x14ac:dyDescent="0.2">
      <c r="A139" t="s">
        <v>179</v>
      </c>
      <c r="B139" t="s">
        <v>81</v>
      </c>
      <c r="C139" t="s">
        <v>41</v>
      </c>
      <c r="D139">
        <v>5.7</v>
      </c>
      <c r="E139">
        <v>30</v>
      </c>
      <c r="F139">
        <v>3</v>
      </c>
      <c r="G139">
        <v>0.4</v>
      </c>
      <c r="H139">
        <v>0</v>
      </c>
      <c r="I139">
        <v>3</v>
      </c>
      <c r="J139">
        <v>678</v>
      </c>
      <c r="K139">
        <v>4</v>
      </c>
      <c r="L139">
        <v>7</v>
      </c>
      <c r="M139">
        <v>0</v>
      </c>
      <c r="N139">
        <v>1</v>
      </c>
      <c r="O139">
        <v>31.1</v>
      </c>
      <c r="P139">
        <v>3.5</v>
      </c>
      <c r="Q139">
        <v>0</v>
      </c>
      <c r="R139">
        <v>0.6</v>
      </c>
      <c r="S139">
        <v>5.3</v>
      </c>
      <c r="T139">
        <v>0.42</v>
      </c>
      <c r="U139">
        <v>1.31</v>
      </c>
      <c r="V139">
        <v>1.73</v>
      </c>
      <c r="W139">
        <v>7.32</v>
      </c>
      <c r="X139">
        <v>8</v>
      </c>
      <c r="Y139" t="s">
        <v>1000</v>
      </c>
      <c r="Z139">
        <v>124</v>
      </c>
      <c r="AA139">
        <v>81</v>
      </c>
      <c r="AB139">
        <v>104</v>
      </c>
      <c r="AC139">
        <v>49</v>
      </c>
      <c r="AD139">
        <v>168</v>
      </c>
      <c r="AE139">
        <v>75</v>
      </c>
      <c r="AF139">
        <v>256</v>
      </c>
      <c r="AG139">
        <v>90</v>
      </c>
      <c r="AH139">
        <f>fpl_player_statistics_cleaned[[#This Row],[Total Points]] / fpl_player_statistics_cleaned[[#This Row],[Now Cost]]</f>
        <v>5.2631578947368416</v>
      </c>
      <c r="AI139">
        <f>fpl_player_statistics_cleaned[[#This Row],[Goals Scored]] + fpl_player_statistics_cleaned[[#This Row],[Assists]]</f>
        <v>3</v>
      </c>
      <c r="AJ139">
        <f>fpl_player_statistics_cleaned[[#This Row],[Total Points]] / fpl_player_statistics_cleaned[[#This Row],[Starts]]</f>
        <v>3.75</v>
      </c>
      <c r="AK139">
        <f>((fpl_player_statistics_cleaned[[#This Row],[Points Per Game]]) * fpl_player_statistics_cleaned[[#This Row],[Form]]) / fpl_player_statistics_cleaned[[#This Row],[Now Cost]]</f>
        <v>1.8421052631578947</v>
      </c>
      <c r="AL139">
        <f>fpl_player_statistics_cleaned[[#This Row],[Minutes]] / fpl_player_statistics_cleaned[[#This Row],[Total Points]]</f>
        <v>22.6</v>
      </c>
      <c r="AM13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55.263157894736835</v>
      </c>
    </row>
    <row r="140" spans="1:39" x14ac:dyDescent="0.2">
      <c r="A140" t="s">
        <v>180</v>
      </c>
      <c r="B140" t="s">
        <v>72</v>
      </c>
      <c r="C140" t="s">
        <v>38</v>
      </c>
      <c r="D140">
        <v>5</v>
      </c>
      <c r="E140">
        <v>30</v>
      </c>
      <c r="F140">
        <v>3.3</v>
      </c>
      <c r="G140">
        <v>2.5</v>
      </c>
      <c r="H140">
        <v>0</v>
      </c>
      <c r="I140">
        <v>0</v>
      </c>
      <c r="J140">
        <v>699</v>
      </c>
      <c r="K140">
        <v>4</v>
      </c>
      <c r="L140">
        <v>10</v>
      </c>
      <c r="M140">
        <v>0</v>
      </c>
      <c r="N140">
        <v>2</v>
      </c>
      <c r="O140">
        <v>34.6</v>
      </c>
      <c r="P140">
        <v>0.8</v>
      </c>
      <c r="Q140">
        <v>0</v>
      </c>
      <c r="R140">
        <v>0.2</v>
      </c>
      <c r="S140">
        <v>6</v>
      </c>
      <c r="T140">
        <v>0</v>
      </c>
      <c r="U140">
        <v>0.9</v>
      </c>
      <c r="V140">
        <v>0.9</v>
      </c>
      <c r="W140">
        <v>7.51</v>
      </c>
      <c r="X140">
        <v>8</v>
      </c>
      <c r="Y140" t="s">
        <v>1000</v>
      </c>
      <c r="Z140">
        <v>240</v>
      </c>
      <c r="AA140">
        <v>36</v>
      </c>
      <c r="AB140">
        <v>291</v>
      </c>
      <c r="AC140">
        <v>99</v>
      </c>
      <c r="AD140">
        <v>136</v>
      </c>
      <c r="AE140">
        <v>49</v>
      </c>
      <c r="AF140">
        <v>112</v>
      </c>
      <c r="AG140">
        <v>42</v>
      </c>
      <c r="AH140">
        <f>fpl_player_statistics_cleaned[[#This Row],[Total Points]] / fpl_player_statistics_cleaned[[#This Row],[Now Cost]]</f>
        <v>6</v>
      </c>
      <c r="AI140">
        <f>fpl_player_statistics_cleaned[[#This Row],[Goals Scored]] + fpl_player_statistics_cleaned[[#This Row],[Assists]]</f>
        <v>0</v>
      </c>
      <c r="AJ140">
        <f>fpl_player_statistics_cleaned[[#This Row],[Total Points]] / fpl_player_statistics_cleaned[[#This Row],[Starts]]</f>
        <v>3.75</v>
      </c>
      <c r="AK140">
        <f>((fpl_player_statistics_cleaned[[#This Row],[Points Per Game]]) * fpl_player_statistics_cleaned[[#This Row],[Form]]) / fpl_player_statistics_cleaned[[#This Row],[Now Cost]]</f>
        <v>0.52800000000000002</v>
      </c>
      <c r="AL140">
        <f>fpl_player_statistics_cleaned[[#This Row],[Minutes]] / fpl_player_statistics_cleaned[[#This Row],[Total Points]]</f>
        <v>23.3</v>
      </c>
      <c r="AM14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15.839999999999998</v>
      </c>
    </row>
    <row r="141" spans="1:39" x14ac:dyDescent="0.2">
      <c r="A141" t="s">
        <v>181</v>
      </c>
      <c r="B141" t="s">
        <v>40</v>
      </c>
      <c r="C141" t="s">
        <v>35</v>
      </c>
      <c r="D141">
        <v>4.5999999999999996</v>
      </c>
      <c r="E141">
        <v>30</v>
      </c>
      <c r="F141">
        <v>3.8</v>
      </c>
      <c r="G141">
        <v>4.7</v>
      </c>
      <c r="H141">
        <v>4</v>
      </c>
      <c r="I141">
        <v>0</v>
      </c>
      <c r="J141">
        <v>251</v>
      </c>
      <c r="K141">
        <v>1</v>
      </c>
      <c r="L141">
        <v>8</v>
      </c>
      <c r="M141">
        <v>0</v>
      </c>
      <c r="N141">
        <v>4</v>
      </c>
      <c r="O141">
        <v>30.8</v>
      </c>
      <c r="P141">
        <v>5.2</v>
      </c>
      <c r="Q141">
        <v>0</v>
      </c>
      <c r="R141">
        <v>1.1000000000000001</v>
      </c>
      <c r="S141">
        <v>6.5</v>
      </c>
      <c r="T141">
        <v>1.81</v>
      </c>
      <c r="U141">
        <v>0.13</v>
      </c>
      <c r="V141">
        <v>1.94</v>
      </c>
      <c r="W141">
        <v>5.69</v>
      </c>
      <c r="X141">
        <v>3</v>
      </c>
      <c r="Y141" t="s">
        <v>1000</v>
      </c>
      <c r="Z141">
        <v>390</v>
      </c>
      <c r="AA141">
        <v>60</v>
      </c>
      <c r="AB141">
        <v>34</v>
      </c>
      <c r="AC141">
        <v>5</v>
      </c>
      <c r="AD141">
        <v>93</v>
      </c>
      <c r="AE141">
        <v>10</v>
      </c>
      <c r="AF141">
        <v>76</v>
      </c>
      <c r="AG141">
        <v>15</v>
      </c>
      <c r="AH141">
        <f>fpl_player_statistics_cleaned[[#This Row],[Total Points]] / fpl_player_statistics_cleaned[[#This Row],[Now Cost]]</f>
        <v>6.5217391304347831</v>
      </c>
      <c r="AI141">
        <f>fpl_player_statistics_cleaned[[#This Row],[Goals Scored]] + fpl_player_statistics_cleaned[[#This Row],[Assists]]</f>
        <v>4</v>
      </c>
      <c r="AJ141">
        <f>fpl_player_statistics_cleaned[[#This Row],[Total Points]] / fpl_player_statistics_cleaned[[#This Row],[Starts]]</f>
        <v>10</v>
      </c>
      <c r="AK141">
        <f>((fpl_player_statistics_cleaned[[#This Row],[Points Per Game]]) * fpl_player_statistics_cleaned[[#This Row],[Form]]) / fpl_player_statistics_cleaned[[#This Row],[Now Cost]]</f>
        <v>4.2956521739130435</v>
      </c>
      <c r="AL141">
        <f>fpl_player_statistics_cleaned[[#This Row],[Minutes]] / fpl_player_statistics_cleaned[[#This Row],[Total Points]]</f>
        <v>8.3666666666666671</v>
      </c>
      <c r="AM14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128.86956521739131</v>
      </c>
    </row>
    <row r="142" spans="1:39" x14ac:dyDescent="0.2">
      <c r="A142" t="s">
        <v>182</v>
      </c>
      <c r="B142" t="s">
        <v>46</v>
      </c>
      <c r="C142" t="s">
        <v>41</v>
      </c>
      <c r="D142">
        <v>5</v>
      </c>
      <c r="E142">
        <v>29</v>
      </c>
      <c r="F142">
        <v>2.6</v>
      </c>
      <c r="G142">
        <v>0.4</v>
      </c>
      <c r="H142">
        <v>0</v>
      </c>
      <c r="I142">
        <v>2</v>
      </c>
      <c r="J142">
        <v>829</v>
      </c>
      <c r="K142">
        <v>3</v>
      </c>
      <c r="L142">
        <v>12</v>
      </c>
      <c r="M142">
        <v>0</v>
      </c>
      <c r="N142">
        <v>2</v>
      </c>
      <c r="O142">
        <v>30.6</v>
      </c>
      <c r="P142">
        <v>1.8</v>
      </c>
      <c r="Q142">
        <v>0</v>
      </c>
      <c r="R142">
        <v>0.4</v>
      </c>
      <c r="S142">
        <v>5.8</v>
      </c>
      <c r="T142">
        <v>7.0000000000000007E-2</v>
      </c>
      <c r="U142">
        <v>0.83</v>
      </c>
      <c r="V142">
        <v>0.9</v>
      </c>
      <c r="W142">
        <v>9.9700000000000006</v>
      </c>
      <c r="X142">
        <v>10</v>
      </c>
      <c r="Y142" t="s">
        <v>1000</v>
      </c>
      <c r="Z142">
        <v>239</v>
      </c>
      <c r="AA142">
        <v>150</v>
      </c>
      <c r="AB142">
        <v>211</v>
      </c>
      <c r="AC142">
        <v>106</v>
      </c>
      <c r="AD142">
        <v>199</v>
      </c>
      <c r="AE142">
        <v>90</v>
      </c>
      <c r="AF142">
        <v>264</v>
      </c>
      <c r="AG142">
        <v>93</v>
      </c>
      <c r="AH142">
        <f>fpl_player_statistics_cleaned[[#This Row],[Total Points]] / fpl_player_statistics_cleaned[[#This Row],[Now Cost]]</f>
        <v>5.8</v>
      </c>
      <c r="AI142">
        <f>fpl_player_statistics_cleaned[[#This Row],[Goals Scored]] + fpl_player_statistics_cleaned[[#This Row],[Assists]]</f>
        <v>2</v>
      </c>
      <c r="AJ142">
        <f>fpl_player_statistics_cleaned[[#This Row],[Total Points]] / fpl_player_statistics_cleaned[[#This Row],[Starts]]</f>
        <v>2.9</v>
      </c>
      <c r="AK142">
        <f>((fpl_player_statistics_cleaned[[#This Row],[Points Per Game]]) * fpl_player_statistics_cleaned[[#This Row],[Form]]) / fpl_player_statistics_cleaned[[#This Row],[Now Cost]]</f>
        <v>0.93600000000000017</v>
      </c>
      <c r="AL142">
        <f>fpl_player_statistics_cleaned[[#This Row],[Minutes]] / fpl_player_statistics_cleaned[[#This Row],[Total Points]]</f>
        <v>28.586206896551722</v>
      </c>
      <c r="AM14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27.144000000000005</v>
      </c>
    </row>
    <row r="143" spans="1:39" x14ac:dyDescent="0.2">
      <c r="A143" t="s">
        <v>923</v>
      </c>
      <c r="B143" t="s">
        <v>47</v>
      </c>
      <c r="C143" t="s">
        <v>41</v>
      </c>
      <c r="D143">
        <v>6.5</v>
      </c>
      <c r="E143">
        <v>29</v>
      </c>
      <c r="F143">
        <v>2.9</v>
      </c>
      <c r="G143">
        <v>2.5</v>
      </c>
      <c r="H143">
        <v>1</v>
      </c>
      <c r="I143">
        <v>3</v>
      </c>
      <c r="J143">
        <v>337</v>
      </c>
      <c r="K143">
        <v>2</v>
      </c>
      <c r="L143">
        <v>2</v>
      </c>
      <c r="M143">
        <v>0</v>
      </c>
      <c r="N143">
        <v>2</v>
      </c>
      <c r="O143">
        <v>38.1</v>
      </c>
      <c r="P143">
        <v>2.2000000000000002</v>
      </c>
      <c r="Q143">
        <v>0</v>
      </c>
      <c r="R143">
        <v>0.3</v>
      </c>
      <c r="S143">
        <v>4.5</v>
      </c>
      <c r="T143">
        <v>1.75</v>
      </c>
      <c r="U143">
        <v>1.78</v>
      </c>
      <c r="V143">
        <v>3.53</v>
      </c>
      <c r="W143">
        <v>2.14</v>
      </c>
      <c r="X143">
        <v>4</v>
      </c>
      <c r="Y143" t="s">
        <v>1000</v>
      </c>
      <c r="Z143">
        <v>60</v>
      </c>
      <c r="AA143">
        <v>40</v>
      </c>
      <c r="AB143">
        <v>179</v>
      </c>
      <c r="AC143">
        <v>85</v>
      </c>
      <c r="AD143">
        <v>176</v>
      </c>
      <c r="AE143">
        <v>80</v>
      </c>
      <c r="AF143">
        <v>113</v>
      </c>
      <c r="AG143">
        <v>39</v>
      </c>
      <c r="AH143">
        <f>fpl_player_statistics_cleaned[[#This Row],[Total Points]] / fpl_player_statistics_cleaned[[#This Row],[Now Cost]]</f>
        <v>4.4615384615384617</v>
      </c>
      <c r="AI143">
        <f>fpl_player_statistics_cleaned[[#This Row],[Goals Scored]] + fpl_player_statistics_cleaned[[#This Row],[Assists]]</f>
        <v>4</v>
      </c>
      <c r="AJ143">
        <f>fpl_player_statistics_cleaned[[#This Row],[Total Points]] / fpl_player_statistics_cleaned[[#This Row],[Starts]]</f>
        <v>7.25</v>
      </c>
      <c r="AK143">
        <f>((fpl_player_statistics_cleaned[[#This Row],[Points Per Game]]) * fpl_player_statistics_cleaned[[#This Row],[Form]]) / fpl_player_statistics_cleaned[[#This Row],[Now Cost]]</f>
        <v>0.98153846153846147</v>
      </c>
      <c r="AL143">
        <f>fpl_player_statistics_cleaned[[#This Row],[Minutes]] / fpl_player_statistics_cleaned[[#This Row],[Total Points]]</f>
        <v>11.620689655172415</v>
      </c>
      <c r="AM14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28.464615384615385</v>
      </c>
    </row>
    <row r="144" spans="1:39" x14ac:dyDescent="0.2">
      <c r="A144" t="s">
        <v>183</v>
      </c>
      <c r="B144" t="s">
        <v>100</v>
      </c>
      <c r="C144" t="s">
        <v>41</v>
      </c>
      <c r="D144">
        <v>5.5</v>
      </c>
      <c r="E144">
        <v>29</v>
      </c>
      <c r="F144">
        <v>3.6</v>
      </c>
      <c r="G144">
        <v>0.2</v>
      </c>
      <c r="H144">
        <v>2</v>
      </c>
      <c r="I144">
        <v>1</v>
      </c>
      <c r="J144">
        <v>515</v>
      </c>
      <c r="K144">
        <v>1</v>
      </c>
      <c r="L144">
        <v>11</v>
      </c>
      <c r="M144">
        <v>0</v>
      </c>
      <c r="N144">
        <v>3</v>
      </c>
      <c r="O144">
        <v>31.3</v>
      </c>
      <c r="P144">
        <v>2</v>
      </c>
      <c r="Q144">
        <v>0</v>
      </c>
      <c r="R144">
        <v>0.4</v>
      </c>
      <c r="S144">
        <v>5.3</v>
      </c>
      <c r="T144">
        <v>1.36</v>
      </c>
      <c r="U144">
        <v>0.48</v>
      </c>
      <c r="V144">
        <v>1.84</v>
      </c>
      <c r="W144">
        <v>9.01</v>
      </c>
      <c r="X144">
        <v>7</v>
      </c>
      <c r="Y144" t="s">
        <v>1000</v>
      </c>
      <c r="Z144">
        <v>144</v>
      </c>
      <c r="AA144">
        <v>93</v>
      </c>
      <c r="AB144">
        <v>190</v>
      </c>
      <c r="AC144">
        <v>92</v>
      </c>
      <c r="AD144">
        <v>112</v>
      </c>
      <c r="AE144">
        <v>47</v>
      </c>
      <c r="AF144">
        <v>378</v>
      </c>
      <c r="AG144">
        <v>130</v>
      </c>
      <c r="AH144">
        <f>fpl_player_statistics_cleaned[[#This Row],[Total Points]] / fpl_player_statistics_cleaned[[#This Row],[Now Cost]]</f>
        <v>5.2727272727272725</v>
      </c>
      <c r="AI144">
        <f>fpl_player_statistics_cleaned[[#This Row],[Goals Scored]] + fpl_player_statistics_cleaned[[#This Row],[Assists]]</f>
        <v>3</v>
      </c>
      <c r="AJ144">
        <f>fpl_player_statistics_cleaned[[#This Row],[Total Points]] / fpl_player_statistics_cleaned[[#This Row],[Starts]]</f>
        <v>4.1428571428571432</v>
      </c>
      <c r="AK144">
        <f>((fpl_player_statistics_cleaned[[#This Row],[Points Per Game]]) * fpl_player_statistics_cleaned[[#This Row],[Form]]) / fpl_player_statistics_cleaned[[#This Row],[Now Cost]]</f>
        <v>1.3090909090909091</v>
      </c>
      <c r="AL144">
        <f>fpl_player_statistics_cleaned[[#This Row],[Minutes]] / fpl_player_statistics_cleaned[[#This Row],[Total Points]]</f>
        <v>17.758620689655171</v>
      </c>
      <c r="AM14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37.963636363636361</v>
      </c>
    </row>
    <row r="145" spans="1:39" x14ac:dyDescent="0.2">
      <c r="A145" t="s">
        <v>184</v>
      </c>
      <c r="B145" t="s">
        <v>81</v>
      </c>
      <c r="C145" t="s">
        <v>41</v>
      </c>
      <c r="D145">
        <v>4.9000000000000004</v>
      </c>
      <c r="E145">
        <v>29</v>
      </c>
      <c r="F145">
        <v>2.6</v>
      </c>
      <c r="G145">
        <v>0.3</v>
      </c>
      <c r="H145">
        <v>1</v>
      </c>
      <c r="I145">
        <v>0</v>
      </c>
      <c r="J145">
        <v>871</v>
      </c>
      <c r="K145">
        <v>2</v>
      </c>
      <c r="L145">
        <v>12</v>
      </c>
      <c r="M145">
        <v>0</v>
      </c>
      <c r="N145">
        <v>2</v>
      </c>
      <c r="O145">
        <v>37.200000000000003</v>
      </c>
      <c r="P145">
        <v>2.2000000000000002</v>
      </c>
      <c r="Q145">
        <v>0</v>
      </c>
      <c r="R145">
        <v>0.4</v>
      </c>
      <c r="S145">
        <v>5.9</v>
      </c>
      <c r="T145">
        <v>0.99</v>
      </c>
      <c r="U145">
        <v>0.5</v>
      </c>
      <c r="V145">
        <v>1.49</v>
      </c>
      <c r="W145">
        <v>10.48</v>
      </c>
      <c r="X145">
        <v>9</v>
      </c>
      <c r="Y145" t="s">
        <v>1000</v>
      </c>
      <c r="Z145">
        <v>338</v>
      </c>
      <c r="AA145">
        <v>213</v>
      </c>
      <c r="AB145">
        <v>171</v>
      </c>
      <c r="AC145">
        <v>78</v>
      </c>
      <c r="AD145">
        <v>198</v>
      </c>
      <c r="AE145">
        <v>89</v>
      </c>
      <c r="AF145">
        <v>311</v>
      </c>
      <c r="AG145">
        <v>109</v>
      </c>
      <c r="AH145">
        <f>fpl_player_statistics_cleaned[[#This Row],[Total Points]] / fpl_player_statistics_cleaned[[#This Row],[Now Cost]]</f>
        <v>5.9183673469387754</v>
      </c>
      <c r="AI145">
        <f>fpl_player_statistics_cleaned[[#This Row],[Goals Scored]] + fpl_player_statistics_cleaned[[#This Row],[Assists]]</f>
        <v>1</v>
      </c>
      <c r="AJ145">
        <f>fpl_player_statistics_cleaned[[#This Row],[Total Points]] / fpl_player_statistics_cleaned[[#This Row],[Starts]]</f>
        <v>3.2222222222222223</v>
      </c>
      <c r="AK145">
        <f>((fpl_player_statistics_cleaned[[#This Row],[Points Per Game]]) * fpl_player_statistics_cleaned[[#This Row],[Form]]) / fpl_player_statistics_cleaned[[#This Row],[Now Cost]]</f>
        <v>1.1673469387755102</v>
      </c>
      <c r="AL145">
        <f>fpl_player_statistics_cleaned[[#This Row],[Minutes]] / fpl_player_statistics_cleaned[[#This Row],[Total Points]]</f>
        <v>30.03448275862069</v>
      </c>
      <c r="AM14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33.853061224489799</v>
      </c>
    </row>
    <row r="146" spans="1:39" x14ac:dyDescent="0.2">
      <c r="A146" t="s">
        <v>185</v>
      </c>
      <c r="B146" t="s">
        <v>65</v>
      </c>
      <c r="C146" t="s">
        <v>38</v>
      </c>
      <c r="D146">
        <v>4.4000000000000004</v>
      </c>
      <c r="E146">
        <v>29</v>
      </c>
      <c r="F146">
        <v>2.6</v>
      </c>
      <c r="G146">
        <v>1.6</v>
      </c>
      <c r="H146">
        <v>0</v>
      </c>
      <c r="I146">
        <v>1</v>
      </c>
      <c r="J146">
        <v>990</v>
      </c>
      <c r="K146">
        <v>2</v>
      </c>
      <c r="L146">
        <v>22</v>
      </c>
      <c r="M146">
        <v>0</v>
      </c>
      <c r="N146">
        <v>3</v>
      </c>
      <c r="O146">
        <v>25.6</v>
      </c>
      <c r="P146">
        <v>4.5</v>
      </c>
      <c r="Q146">
        <v>1</v>
      </c>
      <c r="R146">
        <v>1</v>
      </c>
      <c r="S146">
        <v>6.6</v>
      </c>
      <c r="T146">
        <v>0.12</v>
      </c>
      <c r="U146">
        <v>0.45</v>
      </c>
      <c r="V146">
        <v>0.56999999999999995</v>
      </c>
      <c r="W146">
        <v>24.26</v>
      </c>
      <c r="X146">
        <v>11</v>
      </c>
      <c r="Y146" t="s">
        <v>1000</v>
      </c>
      <c r="Z146">
        <v>492</v>
      </c>
      <c r="AA146">
        <v>103</v>
      </c>
      <c r="AB146">
        <v>59</v>
      </c>
      <c r="AC146">
        <v>20</v>
      </c>
      <c r="AD146">
        <v>195</v>
      </c>
      <c r="AE146">
        <v>70</v>
      </c>
      <c r="AF146">
        <v>143</v>
      </c>
      <c r="AG146">
        <v>56</v>
      </c>
      <c r="AH146">
        <f>fpl_player_statistics_cleaned[[#This Row],[Total Points]] / fpl_player_statistics_cleaned[[#This Row],[Now Cost]]</f>
        <v>6.5909090909090899</v>
      </c>
      <c r="AI146">
        <f>fpl_player_statistics_cleaned[[#This Row],[Goals Scored]] + fpl_player_statistics_cleaned[[#This Row],[Assists]]</f>
        <v>1</v>
      </c>
      <c r="AJ146">
        <f>fpl_player_statistics_cleaned[[#This Row],[Total Points]] / fpl_player_statistics_cleaned[[#This Row],[Starts]]</f>
        <v>2.6363636363636362</v>
      </c>
      <c r="AK146">
        <f>((fpl_player_statistics_cleaned[[#This Row],[Points Per Game]]) * fpl_player_statistics_cleaned[[#This Row],[Form]]) / fpl_player_statistics_cleaned[[#This Row],[Now Cost]]</f>
        <v>2.6590909090909092</v>
      </c>
      <c r="AL146">
        <f>fpl_player_statistics_cleaned[[#This Row],[Minutes]] / fpl_player_statistics_cleaned[[#This Row],[Total Points]]</f>
        <v>34.137931034482762</v>
      </c>
      <c r="AM14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77.11363636363636</v>
      </c>
    </row>
    <row r="147" spans="1:39" x14ac:dyDescent="0.2">
      <c r="A147" t="s">
        <v>186</v>
      </c>
      <c r="B147" t="s">
        <v>81</v>
      </c>
      <c r="C147" t="s">
        <v>38</v>
      </c>
      <c r="D147">
        <v>4.5</v>
      </c>
      <c r="E147">
        <v>29</v>
      </c>
      <c r="F147">
        <v>2.6</v>
      </c>
      <c r="G147">
        <v>1.1000000000000001</v>
      </c>
      <c r="H147">
        <v>0</v>
      </c>
      <c r="I147">
        <v>1</v>
      </c>
      <c r="J147">
        <v>990</v>
      </c>
      <c r="K147">
        <v>2</v>
      </c>
      <c r="L147">
        <v>15</v>
      </c>
      <c r="M147">
        <v>0</v>
      </c>
      <c r="N147">
        <v>0</v>
      </c>
      <c r="O147">
        <v>24.3</v>
      </c>
      <c r="P147">
        <v>3.5</v>
      </c>
      <c r="Q147">
        <v>0</v>
      </c>
      <c r="R147">
        <v>0.8</v>
      </c>
      <c r="S147">
        <v>6.4</v>
      </c>
      <c r="T147">
        <v>0.56000000000000005</v>
      </c>
      <c r="U147">
        <v>0.08</v>
      </c>
      <c r="V147">
        <v>0.64</v>
      </c>
      <c r="W147">
        <v>13.2</v>
      </c>
      <c r="X147">
        <v>11</v>
      </c>
      <c r="Y147" t="s">
        <v>1000</v>
      </c>
      <c r="Z147">
        <v>393</v>
      </c>
      <c r="AA147">
        <v>70</v>
      </c>
      <c r="AB147">
        <v>98</v>
      </c>
      <c r="AC147">
        <v>35</v>
      </c>
      <c r="AD147">
        <v>196</v>
      </c>
      <c r="AE147">
        <v>71</v>
      </c>
      <c r="AF147">
        <v>170</v>
      </c>
      <c r="AG147">
        <v>63</v>
      </c>
      <c r="AH147">
        <f>fpl_player_statistics_cleaned[[#This Row],[Total Points]] / fpl_player_statistics_cleaned[[#This Row],[Now Cost]]</f>
        <v>6.4444444444444446</v>
      </c>
      <c r="AI147">
        <f>fpl_player_statistics_cleaned[[#This Row],[Goals Scored]] + fpl_player_statistics_cleaned[[#This Row],[Assists]]</f>
        <v>1</v>
      </c>
      <c r="AJ147">
        <f>fpl_player_statistics_cleaned[[#This Row],[Total Points]] / fpl_player_statistics_cleaned[[#This Row],[Starts]]</f>
        <v>2.6363636363636362</v>
      </c>
      <c r="AK147">
        <f>((fpl_player_statistics_cleaned[[#This Row],[Points Per Game]]) * fpl_player_statistics_cleaned[[#This Row],[Form]]) / fpl_player_statistics_cleaned[[#This Row],[Now Cost]]</f>
        <v>2.0222222222222221</v>
      </c>
      <c r="AL147">
        <f>fpl_player_statistics_cleaned[[#This Row],[Minutes]] / fpl_player_statistics_cleaned[[#This Row],[Total Points]]</f>
        <v>34.137931034482762</v>
      </c>
      <c r="AM14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58.644444444444453</v>
      </c>
    </row>
    <row r="148" spans="1:39" x14ac:dyDescent="0.2">
      <c r="A148" t="s">
        <v>187</v>
      </c>
      <c r="B148" t="s">
        <v>81</v>
      </c>
      <c r="C148" t="s">
        <v>41</v>
      </c>
      <c r="D148">
        <v>4.9000000000000004</v>
      </c>
      <c r="E148">
        <v>28</v>
      </c>
      <c r="F148">
        <v>2.8</v>
      </c>
      <c r="G148">
        <v>0.2</v>
      </c>
      <c r="H148">
        <v>2</v>
      </c>
      <c r="I148">
        <v>0</v>
      </c>
      <c r="J148">
        <v>538</v>
      </c>
      <c r="K148">
        <v>2</v>
      </c>
      <c r="L148">
        <v>7</v>
      </c>
      <c r="M148">
        <v>0</v>
      </c>
      <c r="N148">
        <v>3</v>
      </c>
      <c r="O148">
        <v>46.5</v>
      </c>
      <c r="P148">
        <v>5.2</v>
      </c>
      <c r="Q148">
        <v>1</v>
      </c>
      <c r="R148">
        <v>1.1000000000000001</v>
      </c>
      <c r="S148">
        <v>5.7</v>
      </c>
      <c r="T148">
        <v>1.84</v>
      </c>
      <c r="U148">
        <v>0.43</v>
      </c>
      <c r="V148">
        <v>2.27</v>
      </c>
      <c r="W148">
        <v>6.27</v>
      </c>
      <c r="X148">
        <v>6</v>
      </c>
      <c r="Y148" t="s">
        <v>1000</v>
      </c>
      <c r="Z148">
        <v>340</v>
      </c>
      <c r="AA148">
        <v>214</v>
      </c>
      <c r="AB148">
        <v>35</v>
      </c>
      <c r="AC148">
        <v>16</v>
      </c>
      <c r="AD148">
        <v>181</v>
      </c>
      <c r="AE148">
        <v>81</v>
      </c>
      <c r="AF148">
        <v>358</v>
      </c>
      <c r="AG148">
        <v>123</v>
      </c>
      <c r="AH148">
        <f>fpl_player_statistics_cleaned[[#This Row],[Total Points]] / fpl_player_statistics_cleaned[[#This Row],[Now Cost]]</f>
        <v>5.7142857142857135</v>
      </c>
      <c r="AI148">
        <f>fpl_player_statistics_cleaned[[#This Row],[Goals Scored]] + fpl_player_statistics_cleaned[[#This Row],[Assists]]</f>
        <v>2</v>
      </c>
      <c r="AJ148">
        <f>fpl_player_statistics_cleaned[[#This Row],[Total Points]] / fpl_player_statistics_cleaned[[#This Row],[Starts]]</f>
        <v>4.666666666666667</v>
      </c>
      <c r="AK148">
        <f>((fpl_player_statistics_cleaned[[#This Row],[Points Per Game]]) * fpl_player_statistics_cleaned[[#This Row],[Form]]) / fpl_player_statistics_cleaned[[#This Row],[Now Cost]]</f>
        <v>2.9714285714285711</v>
      </c>
      <c r="AL148">
        <f>fpl_player_statistics_cleaned[[#This Row],[Minutes]] / fpl_player_statistics_cleaned[[#This Row],[Total Points]]</f>
        <v>19.214285714285715</v>
      </c>
      <c r="AM14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83.199999999999989</v>
      </c>
    </row>
    <row r="149" spans="1:39" x14ac:dyDescent="0.2">
      <c r="A149" t="s">
        <v>188</v>
      </c>
      <c r="B149" t="s">
        <v>65</v>
      </c>
      <c r="C149" t="s">
        <v>35</v>
      </c>
      <c r="D149">
        <v>5</v>
      </c>
      <c r="E149">
        <v>28</v>
      </c>
      <c r="F149">
        <v>3.5</v>
      </c>
      <c r="G149">
        <v>1.7</v>
      </c>
      <c r="H149">
        <v>2</v>
      </c>
      <c r="I149">
        <v>1</v>
      </c>
      <c r="J149">
        <v>578</v>
      </c>
      <c r="K149">
        <v>2</v>
      </c>
      <c r="L149">
        <v>12</v>
      </c>
      <c r="M149">
        <v>0</v>
      </c>
      <c r="N149">
        <v>4</v>
      </c>
      <c r="O149">
        <v>27.4</v>
      </c>
      <c r="P149">
        <v>1.8</v>
      </c>
      <c r="Q149">
        <v>0</v>
      </c>
      <c r="R149">
        <v>0.4</v>
      </c>
      <c r="S149">
        <v>5.6</v>
      </c>
      <c r="T149">
        <v>1.3</v>
      </c>
      <c r="U149">
        <v>0.13</v>
      </c>
      <c r="V149">
        <v>1.43</v>
      </c>
      <c r="W149">
        <v>11.48</v>
      </c>
      <c r="X149">
        <v>7</v>
      </c>
      <c r="Y149" t="s">
        <v>1000</v>
      </c>
      <c r="Z149">
        <v>266</v>
      </c>
      <c r="AA149">
        <v>52</v>
      </c>
      <c r="AB149">
        <v>212</v>
      </c>
      <c r="AC149">
        <v>21</v>
      </c>
      <c r="AD149">
        <v>122</v>
      </c>
      <c r="AE149">
        <v>13</v>
      </c>
      <c r="AF149">
        <v>138</v>
      </c>
      <c r="AG149">
        <v>20</v>
      </c>
      <c r="AH149">
        <f>fpl_player_statistics_cleaned[[#This Row],[Total Points]] / fpl_player_statistics_cleaned[[#This Row],[Now Cost]]</f>
        <v>5.6</v>
      </c>
      <c r="AI149">
        <f>fpl_player_statistics_cleaned[[#This Row],[Goals Scored]] + fpl_player_statistics_cleaned[[#This Row],[Assists]]</f>
        <v>3</v>
      </c>
      <c r="AJ149">
        <f>fpl_player_statistics_cleaned[[#This Row],[Total Points]] / fpl_player_statistics_cleaned[[#This Row],[Starts]]</f>
        <v>4</v>
      </c>
      <c r="AK149">
        <f>((fpl_player_statistics_cleaned[[#This Row],[Points Per Game]]) * fpl_player_statistics_cleaned[[#This Row],[Form]]) / fpl_player_statistics_cleaned[[#This Row],[Now Cost]]</f>
        <v>1.26</v>
      </c>
      <c r="AL149">
        <f>fpl_player_statistics_cleaned[[#This Row],[Minutes]] / fpl_player_statistics_cleaned[[#This Row],[Total Points]]</f>
        <v>20.642857142857142</v>
      </c>
      <c r="AM14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35.28</v>
      </c>
    </row>
    <row r="150" spans="1:39" x14ac:dyDescent="0.2">
      <c r="A150" t="s">
        <v>189</v>
      </c>
      <c r="B150" t="s">
        <v>65</v>
      </c>
      <c r="C150" t="s">
        <v>41</v>
      </c>
      <c r="D150">
        <v>5</v>
      </c>
      <c r="E150">
        <v>28</v>
      </c>
      <c r="F150">
        <v>3.5</v>
      </c>
      <c r="G150">
        <v>0.1</v>
      </c>
      <c r="H150">
        <v>0</v>
      </c>
      <c r="I150">
        <v>1</v>
      </c>
      <c r="J150">
        <v>657</v>
      </c>
      <c r="K150">
        <v>1</v>
      </c>
      <c r="L150">
        <v>16</v>
      </c>
      <c r="M150">
        <v>0</v>
      </c>
      <c r="N150">
        <v>0</v>
      </c>
      <c r="O150">
        <v>26.7</v>
      </c>
      <c r="P150">
        <v>4</v>
      </c>
      <c r="Q150">
        <v>0</v>
      </c>
      <c r="R150">
        <v>0.8</v>
      </c>
      <c r="S150">
        <v>5.6</v>
      </c>
      <c r="T150">
        <v>0.48</v>
      </c>
      <c r="U150">
        <v>0.11</v>
      </c>
      <c r="V150">
        <v>0.59</v>
      </c>
      <c r="W150">
        <v>16.28</v>
      </c>
      <c r="X150">
        <v>7</v>
      </c>
      <c r="Y150" t="s">
        <v>1000</v>
      </c>
      <c r="Z150">
        <v>256</v>
      </c>
      <c r="AA150">
        <v>159</v>
      </c>
      <c r="AB150">
        <v>78</v>
      </c>
      <c r="AC150">
        <v>38</v>
      </c>
      <c r="AD150">
        <v>121</v>
      </c>
      <c r="AE150">
        <v>54</v>
      </c>
      <c r="AF150">
        <v>552</v>
      </c>
      <c r="AG150">
        <v>206</v>
      </c>
      <c r="AH150">
        <f>fpl_player_statistics_cleaned[[#This Row],[Total Points]] / fpl_player_statistics_cleaned[[#This Row],[Now Cost]]</f>
        <v>5.6</v>
      </c>
      <c r="AI150">
        <f>fpl_player_statistics_cleaned[[#This Row],[Goals Scored]] + fpl_player_statistics_cleaned[[#This Row],[Assists]]</f>
        <v>1</v>
      </c>
      <c r="AJ150">
        <f>fpl_player_statistics_cleaned[[#This Row],[Total Points]] / fpl_player_statistics_cleaned[[#This Row],[Starts]]</f>
        <v>4</v>
      </c>
      <c r="AK150">
        <f>((fpl_player_statistics_cleaned[[#This Row],[Points Per Game]]) * fpl_player_statistics_cleaned[[#This Row],[Form]]) / fpl_player_statistics_cleaned[[#This Row],[Now Cost]]</f>
        <v>2.8</v>
      </c>
      <c r="AL150">
        <f>fpl_player_statistics_cleaned[[#This Row],[Minutes]] / fpl_player_statistics_cleaned[[#This Row],[Total Points]]</f>
        <v>23.464285714285715</v>
      </c>
      <c r="AM15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78.399999999999991</v>
      </c>
    </row>
    <row r="151" spans="1:39" x14ac:dyDescent="0.2">
      <c r="A151" t="s">
        <v>924</v>
      </c>
      <c r="B151" t="s">
        <v>97</v>
      </c>
      <c r="C151" t="s">
        <v>41</v>
      </c>
      <c r="D151">
        <v>5.5</v>
      </c>
      <c r="E151">
        <v>28</v>
      </c>
      <c r="F151">
        <v>3.1</v>
      </c>
      <c r="G151">
        <v>0.1</v>
      </c>
      <c r="H151">
        <v>1</v>
      </c>
      <c r="I151">
        <v>1</v>
      </c>
      <c r="J151">
        <v>642</v>
      </c>
      <c r="K151">
        <v>1</v>
      </c>
      <c r="L151">
        <v>11</v>
      </c>
      <c r="M151">
        <v>0</v>
      </c>
      <c r="N151">
        <v>2</v>
      </c>
      <c r="O151">
        <v>35.700000000000003</v>
      </c>
      <c r="P151">
        <v>3.8</v>
      </c>
      <c r="Q151">
        <v>0</v>
      </c>
      <c r="R151">
        <v>0.7</v>
      </c>
      <c r="S151">
        <v>5.0999999999999996</v>
      </c>
      <c r="T151">
        <v>0.49</v>
      </c>
      <c r="U151">
        <v>0.66</v>
      </c>
      <c r="V151">
        <v>1.1499999999999999</v>
      </c>
      <c r="W151">
        <v>9.9700000000000006</v>
      </c>
      <c r="X151">
        <v>8</v>
      </c>
      <c r="Y151" t="s">
        <v>1000</v>
      </c>
      <c r="Z151">
        <v>152</v>
      </c>
      <c r="AA151">
        <v>96</v>
      </c>
      <c r="AB151">
        <v>94</v>
      </c>
      <c r="AC151">
        <v>43</v>
      </c>
      <c r="AD151">
        <v>160</v>
      </c>
      <c r="AE151">
        <v>71</v>
      </c>
      <c r="AF151">
        <v>534</v>
      </c>
      <c r="AG151">
        <v>193</v>
      </c>
      <c r="AH151">
        <f>fpl_player_statistics_cleaned[[#This Row],[Total Points]] / fpl_player_statistics_cleaned[[#This Row],[Now Cost]]</f>
        <v>5.0909090909090908</v>
      </c>
      <c r="AI151">
        <f>fpl_player_statistics_cleaned[[#This Row],[Goals Scored]] + fpl_player_statistics_cleaned[[#This Row],[Assists]]</f>
        <v>2</v>
      </c>
      <c r="AJ151">
        <f>fpl_player_statistics_cleaned[[#This Row],[Total Points]] / fpl_player_statistics_cleaned[[#This Row],[Starts]]</f>
        <v>3.5</v>
      </c>
      <c r="AK151">
        <f>((fpl_player_statistics_cleaned[[#This Row],[Points Per Game]]) * fpl_player_statistics_cleaned[[#This Row],[Form]]) / fpl_player_statistics_cleaned[[#This Row],[Now Cost]]</f>
        <v>2.1418181818181816</v>
      </c>
      <c r="AL151">
        <f>fpl_player_statistics_cleaned[[#This Row],[Minutes]] / fpl_player_statistics_cleaned[[#This Row],[Total Points]]</f>
        <v>22.928571428571427</v>
      </c>
      <c r="AM15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59.970909090909089</v>
      </c>
    </row>
    <row r="152" spans="1:39" x14ac:dyDescent="0.2">
      <c r="A152" t="s">
        <v>190</v>
      </c>
      <c r="B152" t="s">
        <v>100</v>
      </c>
      <c r="C152" t="s">
        <v>38</v>
      </c>
      <c r="D152">
        <v>4.5</v>
      </c>
      <c r="E152">
        <v>28</v>
      </c>
      <c r="F152">
        <v>2.5</v>
      </c>
      <c r="G152">
        <v>0.2</v>
      </c>
      <c r="H152">
        <v>0</v>
      </c>
      <c r="I152">
        <v>1</v>
      </c>
      <c r="J152">
        <v>958</v>
      </c>
      <c r="K152">
        <v>2</v>
      </c>
      <c r="L152">
        <v>19</v>
      </c>
      <c r="M152">
        <v>0</v>
      </c>
      <c r="N152">
        <v>0</v>
      </c>
      <c r="O152">
        <v>28.3</v>
      </c>
      <c r="P152">
        <v>1.2</v>
      </c>
      <c r="Q152">
        <v>0</v>
      </c>
      <c r="R152">
        <v>0.3</v>
      </c>
      <c r="S152">
        <v>6.2</v>
      </c>
      <c r="T152">
        <v>0.66</v>
      </c>
      <c r="U152">
        <v>0.44</v>
      </c>
      <c r="V152">
        <v>1.1000000000000001</v>
      </c>
      <c r="W152">
        <v>13.4</v>
      </c>
      <c r="X152">
        <v>11</v>
      </c>
      <c r="Y152" t="s">
        <v>1000</v>
      </c>
      <c r="Z152">
        <v>410</v>
      </c>
      <c r="AA152">
        <v>80</v>
      </c>
      <c r="AB152">
        <v>244</v>
      </c>
      <c r="AC152">
        <v>79</v>
      </c>
      <c r="AD152">
        <v>206</v>
      </c>
      <c r="AE152">
        <v>75</v>
      </c>
      <c r="AF152">
        <v>360</v>
      </c>
      <c r="AG152">
        <v>128</v>
      </c>
      <c r="AH152">
        <f>fpl_player_statistics_cleaned[[#This Row],[Total Points]] / fpl_player_statistics_cleaned[[#This Row],[Now Cost]]</f>
        <v>6.2222222222222223</v>
      </c>
      <c r="AI152">
        <f>fpl_player_statistics_cleaned[[#This Row],[Goals Scored]] + fpl_player_statistics_cleaned[[#This Row],[Assists]]</f>
        <v>1</v>
      </c>
      <c r="AJ152">
        <f>fpl_player_statistics_cleaned[[#This Row],[Total Points]] / fpl_player_statistics_cleaned[[#This Row],[Starts]]</f>
        <v>2.5454545454545454</v>
      </c>
      <c r="AK152">
        <f>((fpl_player_statistics_cleaned[[#This Row],[Points Per Game]]) * fpl_player_statistics_cleaned[[#This Row],[Form]]) / fpl_player_statistics_cleaned[[#This Row],[Now Cost]]</f>
        <v>0.66666666666666663</v>
      </c>
      <c r="AL152">
        <f>fpl_player_statistics_cleaned[[#This Row],[Minutes]] / fpl_player_statistics_cleaned[[#This Row],[Total Points]]</f>
        <v>34.214285714285715</v>
      </c>
      <c r="AM15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18.666666666666668</v>
      </c>
    </row>
    <row r="153" spans="1:39" x14ac:dyDescent="0.2">
      <c r="A153" t="s">
        <v>191</v>
      </c>
      <c r="B153" t="s">
        <v>57</v>
      </c>
      <c r="C153" t="s">
        <v>38</v>
      </c>
      <c r="D153">
        <v>4.9000000000000004</v>
      </c>
      <c r="E153">
        <v>28</v>
      </c>
      <c r="F153">
        <v>2.5</v>
      </c>
      <c r="G153">
        <v>0.4</v>
      </c>
      <c r="H153">
        <v>0</v>
      </c>
      <c r="I153">
        <v>0</v>
      </c>
      <c r="J153">
        <v>868</v>
      </c>
      <c r="K153">
        <v>2</v>
      </c>
      <c r="L153">
        <v>12</v>
      </c>
      <c r="M153">
        <v>0</v>
      </c>
      <c r="N153">
        <v>1</v>
      </c>
      <c r="O153">
        <v>26.5</v>
      </c>
      <c r="P153">
        <v>1.2</v>
      </c>
      <c r="Q153">
        <v>0</v>
      </c>
      <c r="R153">
        <v>0.2</v>
      </c>
      <c r="S153">
        <v>5.7</v>
      </c>
      <c r="T153">
        <v>0.41</v>
      </c>
      <c r="U153">
        <v>0.21</v>
      </c>
      <c r="V153">
        <v>0.62</v>
      </c>
      <c r="W153">
        <v>15.01</v>
      </c>
      <c r="X153">
        <v>10</v>
      </c>
      <c r="Y153" t="s">
        <v>1000</v>
      </c>
      <c r="Z153">
        <v>339</v>
      </c>
      <c r="AA153">
        <v>57</v>
      </c>
      <c r="AB153">
        <v>250</v>
      </c>
      <c r="AC153">
        <v>85</v>
      </c>
      <c r="AD153">
        <v>209</v>
      </c>
      <c r="AE153">
        <v>77</v>
      </c>
      <c r="AF153">
        <v>255</v>
      </c>
      <c r="AG153">
        <v>96</v>
      </c>
      <c r="AH153">
        <f>fpl_player_statistics_cleaned[[#This Row],[Total Points]] / fpl_player_statistics_cleaned[[#This Row],[Now Cost]]</f>
        <v>5.7142857142857135</v>
      </c>
      <c r="AI153">
        <f>fpl_player_statistics_cleaned[[#This Row],[Goals Scored]] + fpl_player_statistics_cleaned[[#This Row],[Assists]]</f>
        <v>0</v>
      </c>
      <c r="AJ153">
        <f>fpl_player_statistics_cleaned[[#This Row],[Total Points]] / fpl_player_statistics_cleaned[[#This Row],[Starts]]</f>
        <v>2.8</v>
      </c>
      <c r="AK153">
        <f>((fpl_player_statistics_cleaned[[#This Row],[Points Per Game]]) * fpl_player_statistics_cleaned[[#This Row],[Form]]) / fpl_player_statistics_cleaned[[#This Row],[Now Cost]]</f>
        <v>0.61224489795918358</v>
      </c>
      <c r="AL153">
        <f>fpl_player_statistics_cleaned[[#This Row],[Minutes]] / fpl_player_statistics_cleaned[[#This Row],[Total Points]]</f>
        <v>31</v>
      </c>
      <c r="AM15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17.142857142857142</v>
      </c>
    </row>
    <row r="154" spans="1:39" x14ac:dyDescent="0.2">
      <c r="A154" t="s">
        <v>192</v>
      </c>
      <c r="B154" t="s">
        <v>92</v>
      </c>
      <c r="C154" t="s">
        <v>38</v>
      </c>
      <c r="D154">
        <v>4.5</v>
      </c>
      <c r="E154">
        <v>28</v>
      </c>
      <c r="F154">
        <v>2.5</v>
      </c>
      <c r="G154">
        <v>0.6</v>
      </c>
      <c r="H154">
        <v>0</v>
      </c>
      <c r="I154">
        <v>0</v>
      </c>
      <c r="J154">
        <v>908</v>
      </c>
      <c r="K154">
        <v>2</v>
      </c>
      <c r="L154">
        <v>15</v>
      </c>
      <c r="M154">
        <v>0</v>
      </c>
      <c r="N154">
        <v>3</v>
      </c>
      <c r="O154">
        <v>20.9</v>
      </c>
      <c r="P154">
        <v>2.5</v>
      </c>
      <c r="Q154">
        <v>0</v>
      </c>
      <c r="R154">
        <v>0.6</v>
      </c>
      <c r="S154">
        <v>6.2</v>
      </c>
      <c r="T154">
        <v>0.16</v>
      </c>
      <c r="U154">
        <v>0.08</v>
      </c>
      <c r="V154">
        <v>0.24</v>
      </c>
      <c r="W154">
        <v>13.47</v>
      </c>
      <c r="X154">
        <v>10</v>
      </c>
      <c r="Y154" t="s">
        <v>1000</v>
      </c>
      <c r="Z154">
        <v>413</v>
      </c>
      <c r="AA154">
        <v>83</v>
      </c>
      <c r="AB154">
        <v>151</v>
      </c>
      <c r="AC154">
        <v>57</v>
      </c>
      <c r="AD154">
        <v>207</v>
      </c>
      <c r="AE154">
        <v>76</v>
      </c>
      <c r="AF154">
        <v>229</v>
      </c>
      <c r="AG154">
        <v>84</v>
      </c>
      <c r="AH154">
        <f>fpl_player_statistics_cleaned[[#This Row],[Total Points]] / fpl_player_statistics_cleaned[[#This Row],[Now Cost]]</f>
        <v>6.2222222222222223</v>
      </c>
      <c r="AI154">
        <f>fpl_player_statistics_cleaned[[#This Row],[Goals Scored]] + fpl_player_statistics_cleaned[[#This Row],[Assists]]</f>
        <v>0</v>
      </c>
      <c r="AJ154">
        <f>fpl_player_statistics_cleaned[[#This Row],[Total Points]] / fpl_player_statistics_cleaned[[#This Row],[Starts]]</f>
        <v>2.8</v>
      </c>
      <c r="AK154">
        <f>((fpl_player_statistics_cleaned[[#This Row],[Points Per Game]]) * fpl_player_statistics_cleaned[[#This Row],[Form]]) / fpl_player_statistics_cleaned[[#This Row],[Now Cost]]</f>
        <v>1.3888888888888888</v>
      </c>
      <c r="AL154">
        <f>fpl_player_statistics_cleaned[[#This Row],[Minutes]] / fpl_player_statistics_cleaned[[#This Row],[Total Points]]</f>
        <v>32.428571428571431</v>
      </c>
      <c r="AM15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38.888888888888886</v>
      </c>
    </row>
    <row r="155" spans="1:39" x14ac:dyDescent="0.2">
      <c r="A155" t="s">
        <v>193</v>
      </c>
      <c r="B155" t="s">
        <v>49</v>
      </c>
      <c r="C155" t="s">
        <v>38</v>
      </c>
      <c r="D155">
        <v>4.5</v>
      </c>
      <c r="E155">
        <v>28</v>
      </c>
      <c r="F155">
        <v>2.5</v>
      </c>
      <c r="G155">
        <v>0.5</v>
      </c>
      <c r="H155">
        <v>0</v>
      </c>
      <c r="I155">
        <v>1</v>
      </c>
      <c r="J155">
        <v>933</v>
      </c>
      <c r="K155">
        <v>2</v>
      </c>
      <c r="L155">
        <v>15</v>
      </c>
      <c r="M155">
        <v>0</v>
      </c>
      <c r="N155">
        <v>0</v>
      </c>
      <c r="O155">
        <v>20.5</v>
      </c>
      <c r="P155">
        <v>3.2</v>
      </c>
      <c r="Q155">
        <v>0</v>
      </c>
      <c r="R155">
        <v>0.7</v>
      </c>
      <c r="S155">
        <v>6.2</v>
      </c>
      <c r="T155">
        <v>0.08</v>
      </c>
      <c r="U155">
        <v>0.17</v>
      </c>
      <c r="V155">
        <v>0.25</v>
      </c>
      <c r="W155">
        <v>15.46</v>
      </c>
      <c r="X155">
        <v>11</v>
      </c>
      <c r="Y155" t="s">
        <v>1000</v>
      </c>
      <c r="Z155">
        <v>397</v>
      </c>
      <c r="AA155">
        <v>73</v>
      </c>
      <c r="AB155">
        <v>109</v>
      </c>
      <c r="AC155">
        <v>41</v>
      </c>
      <c r="AD155">
        <v>205</v>
      </c>
      <c r="AE155">
        <v>74</v>
      </c>
      <c r="AF155">
        <v>241</v>
      </c>
      <c r="AG155">
        <v>87</v>
      </c>
      <c r="AH155">
        <f>fpl_player_statistics_cleaned[[#This Row],[Total Points]] / fpl_player_statistics_cleaned[[#This Row],[Now Cost]]</f>
        <v>6.2222222222222223</v>
      </c>
      <c r="AI155">
        <f>fpl_player_statistics_cleaned[[#This Row],[Goals Scored]] + fpl_player_statistics_cleaned[[#This Row],[Assists]]</f>
        <v>1</v>
      </c>
      <c r="AJ155">
        <f>fpl_player_statistics_cleaned[[#This Row],[Total Points]] / fpl_player_statistics_cleaned[[#This Row],[Starts]]</f>
        <v>2.5454545454545454</v>
      </c>
      <c r="AK155">
        <f>((fpl_player_statistics_cleaned[[#This Row],[Points Per Game]]) * fpl_player_statistics_cleaned[[#This Row],[Form]]) / fpl_player_statistics_cleaned[[#This Row],[Now Cost]]</f>
        <v>1.7777777777777777</v>
      </c>
      <c r="AL155">
        <f>fpl_player_statistics_cleaned[[#This Row],[Minutes]] / fpl_player_statistics_cleaned[[#This Row],[Total Points]]</f>
        <v>33.321428571428569</v>
      </c>
      <c r="AM15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49.777777777777779</v>
      </c>
    </row>
    <row r="156" spans="1:39" x14ac:dyDescent="0.2">
      <c r="A156" t="s">
        <v>925</v>
      </c>
      <c r="B156" t="s">
        <v>65</v>
      </c>
      <c r="C156" t="s">
        <v>38</v>
      </c>
      <c r="D156">
        <v>4</v>
      </c>
      <c r="E156">
        <v>28</v>
      </c>
      <c r="F156">
        <v>2.5</v>
      </c>
      <c r="G156">
        <v>12</v>
      </c>
      <c r="H156">
        <v>0</v>
      </c>
      <c r="I156">
        <v>0</v>
      </c>
      <c r="J156">
        <v>982</v>
      </c>
      <c r="K156">
        <v>2</v>
      </c>
      <c r="L156">
        <v>22</v>
      </c>
      <c r="M156">
        <v>0</v>
      </c>
      <c r="N156">
        <v>0</v>
      </c>
      <c r="O156">
        <v>29.6</v>
      </c>
      <c r="P156">
        <v>3.2</v>
      </c>
      <c r="Q156">
        <v>0</v>
      </c>
      <c r="R156">
        <v>0.8</v>
      </c>
      <c r="S156">
        <v>7</v>
      </c>
      <c r="T156">
        <v>0.19</v>
      </c>
      <c r="U156">
        <v>0.34</v>
      </c>
      <c r="V156">
        <v>0.53</v>
      </c>
      <c r="W156">
        <v>24.15</v>
      </c>
      <c r="X156">
        <v>11</v>
      </c>
      <c r="Y156" t="s">
        <v>1000</v>
      </c>
      <c r="Z156">
        <v>659</v>
      </c>
      <c r="AA156">
        <v>179</v>
      </c>
      <c r="AB156">
        <v>107</v>
      </c>
      <c r="AC156">
        <v>39</v>
      </c>
      <c r="AD156">
        <v>203</v>
      </c>
      <c r="AE156">
        <v>73</v>
      </c>
      <c r="AF156">
        <v>34</v>
      </c>
      <c r="AG156">
        <v>11</v>
      </c>
      <c r="AH156">
        <f>fpl_player_statistics_cleaned[[#This Row],[Total Points]] / fpl_player_statistics_cleaned[[#This Row],[Now Cost]]</f>
        <v>7</v>
      </c>
      <c r="AI156">
        <f>fpl_player_statistics_cleaned[[#This Row],[Goals Scored]] + fpl_player_statistics_cleaned[[#This Row],[Assists]]</f>
        <v>0</v>
      </c>
      <c r="AJ156">
        <f>fpl_player_statistics_cleaned[[#This Row],[Total Points]] / fpl_player_statistics_cleaned[[#This Row],[Starts]]</f>
        <v>2.5454545454545454</v>
      </c>
      <c r="AK156">
        <f>((fpl_player_statistics_cleaned[[#This Row],[Points Per Game]]) * fpl_player_statistics_cleaned[[#This Row],[Form]]) / fpl_player_statistics_cleaned[[#This Row],[Now Cost]]</f>
        <v>2</v>
      </c>
      <c r="AL156">
        <f>fpl_player_statistics_cleaned[[#This Row],[Minutes]] / fpl_player_statistics_cleaned[[#This Row],[Total Points]]</f>
        <v>35.071428571428569</v>
      </c>
      <c r="AM15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56.000000000000007</v>
      </c>
    </row>
    <row r="157" spans="1:39" x14ac:dyDescent="0.2">
      <c r="A157" t="s">
        <v>194</v>
      </c>
      <c r="B157" t="s">
        <v>51</v>
      </c>
      <c r="C157" t="s">
        <v>41</v>
      </c>
      <c r="D157">
        <v>6.7</v>
      </c>
      <c r="E157">
        <v>28</v>
      </c>
      <c r="F157">
        <v>2.5</v>
      </c>
      <c r="G157">
        <v>3</v>
      </c>
      <c r="H157">
        <v>2</v>
      </c>
      <c r="I157">
        <v>0</v>
      </c>
      <c r="J157">
        <v>467</v>
      </c>
      <c r="K157">
        <v>3</v>
      </c>
      <c r="L157">
        <v>3</v>
      </c>
      <c r="M157">
        <v>0</v>
      </c>
      <c r="N157">
        <v>2</v>
      </c>
      <c r="O157">
        <v>25.1</v>
      </c>
      <c r="P157">
        <v>1.5</v>
      </c>
      <c r="Q157">
        <v>0</v>
      </c>
      <c r="R157">
        <v>0.2</v>
      </c>
      <c r="S157">
        <v>4.2</v>
      </c>
      <c r="T157">
        <v>0.96</v>
      </c>
      <c r="U157">
        <v>0.25</v>
      </c>
      <c r="V157">
        <v>1.21</v>
      </c>
      <c r="W157">
        <v>8.02</v>
      </c>
      <c r="X157">
        <v>5</v>
      </c>
      <c r="Y157" t="s">
        <v>1000</v>
      </c>
      <c r="Z157">
        <v>47</v>
      </c>
      <c r="AA157">
        <v>31</v>
      </c>
      <c r="AB157">
        <v>235</v>
      </c>
      <c r="AC157">
        <v>115</v>
      </c>
      <c r="AD157">
        <v>213</v>
      </c>
      <c r="AE157">
        <v>97</v>
      </c>
      <c r="AF157">
        <v>100</v>
      </c>
      <c r="AG157">
        <v>33</v>
      </c>
      <c r="AH157">
        <f>fpl_player_statistics_cleaned[[#This Row],[Total Points]] / fpl_player_statistics_cleaned[[#This Row],[Now Cost]]</f>
        <v>4.1791044776119399</v>
      </c>
      <c r="AI157">
        <f>fpl_player_statistics_cleaned[[#This Row],[Goals Scored]] + fpl_player_statistics_cleaned[[#This Row],[Assists]]</f>
        <v>2</v>
      </c>
      <c r="AJ157">
        <f>fpl_player_statistics_cleaned[[#This Row],[Total Points]] / fpl_player_statistics_cleaned[[#This Row],[Starts]]</f>
        <v>5.6</v>
      </c>
      <c r="AK157">
        <f>((fpl_player_statistics_cleaned[[#This Row],[Points Per Game]]) * fpl_player_statistics_cleaned[[#This Row],[Form]]) / fpl_player_statistics_cleaned[[#This Row],[Now Cost]]</f>
        <v>0.55970149253731338</v>
      </c>
      <c r="AL157">
        <f>fpl_player_statistics_cleaned[[#This Row],[Minutes]] / fpl_player_statistics_cleaned[[#This Row],[Total Points]]</f>
        <v>16.678571428571427</v>
      </c>
      <c r="AM15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15.671641791044774</v>
      </c>
    </row>
    <row r="158" spans="1:39" x14ac:dyDescent="0.2">
      <c r="A158" t="s">
        <v>195</v>
      </c>
      <c r="B158" t="s">
        <v>34</v>
      </c>
      <c r="C158" t="s">
        <v>41</v>
      </c>
      <c r="D158">
        <v>5.9</v>
      </c>
      <c r="E158">
        <v>28</v>
      </c>
      <c r="F158">
        <v>2.8</v>
      </c>
      <c r="G158">
        <v>0.1</v>
      </c>
      <c r="H158">
        <v>1</v>
      </c>
      <c r="I158">
        <v>0</v>
      </c>
      <c r="J158">
        <v>644</v>
      </c>
      <c r="K158">
        <v>4</v>
      </c>
      <c r="L158">
        <v>5</v>
      </c>
      <c r="M158">
        <v>0</v>
      </c>
      <c r="N158">
        <v>1</v>
      </c>
      <c r="O158">
        <v>29.5</v>
      </c>
      <c r="P158">
        <v>4.2</v>
      </c>
      <c r="Q158">
        <v>0</v>
      </c>
      <c r="R158">
        <v>0.7</v>
      </c>
      <c r="S158">
        <v>4.7</v>
      </c>
      <c r="T158">
        <v>0.26</v>
      </c>
      <c r="U158">
        <v>0.43</v>
      </c>
      <c r="V158">
        <v>0.69</v>
      </c>
      <c r="W158">
        <v>6.61</v>
      </c>
      <c r="X158">
        <v>6</v>
      </c>
      <c r="Y158" t="s">
        <v>1000</v>
      </c>
      <c r="Z158">
        <v>101</v>
      </c>
      <c r="AA158">
        <v>68</v>
      </c>
      <c r="AB158">
        <v>72</v>
      </c>
      <c r="AC158">
        <v>34</v>
      </c>
      <c r="AD158">
        <v>187</v>
      </c>
      <c r="AE158">
        <v>83</v>
      </c>
      <c r="AF158">
        <v>470</v>
      </c>
      <c r="AG158">
        <v>159</v>
      </c>
      <c r="AH158">
        <f>fpl_player_statistics_cleaned[[#This Row],[Total Points]] / fpl_player_statistics_cleaned[[#This Row],[Now Cost]]</f>
        <v>4.7457627118644066</v>
      </c>
      <c r="AI158">
        <f>fpl_player_statistics_cleaned[[#This Row],[Goals Scored]] + fpl_player_statistics_cleaned[[#This Row],[Assists]]</f>
        <v>1</v>
      </c>
      <c r="AJ158">
        <f>fpl_player_statistics_cleaned[[#This Row],[Total Points]] / fpl_player_statistics_cleaned[[#This Row],[Starts]]</f>
        <v>4.666666666666667</v>
      </c>
      <c r="AK158">
        <f>((fpl_player_statistics_cleaned[[#This Row],[Points Per Game]]) * fpl_player_statistics_cleaned[[#This Row],[Form]]) / fpl_player_statistics_cleaned[[#This Row],[Now Cost]]</f>
        <v>1.9932203389830507</v>
      </c>
      <c r="AL158">
        <f>fpl_player_statistics_cleaned[[#This Row],[Minutes]] / fpl_player_statistics_cleaned[[#This Row],[Total Points]]</f>
        <v>23</v>
      </c>
      <c r="AM15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55.810169491525421</v>
      </c>
    </row>
    <row r="159" spans="1:39" x14ac:dyDescent="0.2">
      <c r="A159" t="s">
        <v>196</v>
      </c>
      <c r="B159" t="s">
        <v>100</v>
      </c>
      <c r="C159" t="s">
        <v>38</v>
      </c>
      <c r="D159">
        <v>4</v>
      </c>
      <c r="E159">
        <v>27</v>
      </c>
      <c r="F159">
        <v>2.5</v>
      </c>
      <c r="G159">
        <v>4.5999999999999996</v>
      </c>
      <c r="H159">
        <v>0</v>
      </c>
      <c r="I159">
        <v>0</v>
      </c>
      <c r="J159">
        <v>911</v>
      </c>
      <c r="K159">
        <v>2</v>
      </c>
      <c r="L159">
        <v>18</v>
      </c>
      <c r="M159">
        <v>0</v>
      </c>
      <c r="N159">
        <v>6</v>
      </c>
      <c r="O159">
        <v>41.1</v>
      </c>
      <c r="P159">
        <v>1</v>
      </c>
      <c r="Q159">
        <v>0</v>
      </c>
      <c r="R159">
        <v>0.2</v>
      </c>
      <c r="S159">
        <v>6.8</v>
      </c>
      <c r="T159">
        <v>0.18</v>
      </c>
      <c r="U159">
        <v>1.05</v>
      </c>
      <c r="V159">
        <v>1.23</v>
      </c>
      <c r="W159">
        <v>13.14</v>
      </c>
      <c r="X159">
        <v>11</v>
      </c>
      <c r="Y159" t="s">
        <v>1000</v>
      </c>
      <c r="Z159">
        <v>642</v>
      </c>
      <c r="AA159">
        <v>169</v>
      </c>
      <c r="AB159">
        <v>260</v>
      </c>
      <c r="AC159">
        <v>87</v>
      </c>
      <c r="AD159">
        <v>202</v>
      </c>
      <c r="AE159">
        <v>72</v>
      </c>
      <c r="AF159">
        <v>79</v>
      </c>
      <c r="AG159">
        <v>26</v>
      </c>
      <c r="AH159">
        <f>fpl_player_statistics_cleaned[[#This Row],[Total Points]] / fpl_player_statistics_cleaned[[#This Row],[Now Cost]]</f>
        <v>6.75</v>
      </c>
      <c r="AI159">
        <f>fpl_player_statistics_cleaned[[#This Row],[Goals Scored]] + fpl_player_statistics_cleaned[[#This Row],[Assists]]</f>
        <v>0</v>
      </c>
      <c r="AJ159">
        <f>fpl_player_statistics_cleaned[[#This Row],[Total Points]] / fpl_player_statistics_cleaned[[#This Row],[Starts]]</f>
        <v>2.4545454545454546</v>
      </c>
      <c r="AK159">
        <f>((fpl_player_statistics_cleaned[[#This Row],[Points Per Game]]) * fpl_player_statistics_cleaned[[#This Row],[Form]]) / fpl_player_statistics_cleaned[[#This Row],[Now Cost]]</f>
        <v>0.625</v>
      </c>
      <c r="AL159">
        <f>fpl_player_statistics_cleaned[[#This Row],[Minutes]] / fpl_player_statistics_cleaned[[#This Row],[Total Points]]</f>
        <v>33.74074074074074</v>
      </c>
      <c r="AM15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16.875</v>
      </c>
    </row>
    <row r="160" spans="1:39" hidden="1" x14ac:dyDescent="0.2">
      <c r="A160" t="s">
        <v>926</v>
      </c>
      <c r="B160" t="s">
        <v>92</v>
      </c>
      <c r="C160" t="s">
        <v>41</v>
      </c>
      <c r="D160">
        <v>5</v>
      </c>
      <c r="E160">
        <v>27</v>
      </c>
      <c r="F160">
        <v>3</v>
      </c>
      <c r="G160">
        <v>0.1</v>
      </c>
      <c r="H160">
        <v>1</v>
      </c>
      <c r="I160">
        <v>2</v>
      </c>
      <c r="J160">
        <v>677</v>
      </c>
      <c r="K160">
        <v>1</v>
      </c>
      <c r="L160">
        <v>10</v>
      </c>
      <c r="M160">
        <v>0</v>
      </c>
      <c r="N160">
        <v>2</v>
      </c>
      <c r="O160">
        <v>41.5</v>
      </c>
      <c r="P160">
        <v>2.2000000000000002</v>
      </c>
      <c r="Q160">
        <v>0</v>
      </c>
      <c r="R160">
        <v>0.4</v>
      </c>
      <c r="S160">
        <v>5.4</v>
      </c>
      <c r="T160">
        <v>1.35</v>
      </c>
      <c r="U160">
        <v>1.01</v>
      </c>
      <c r="V160">
        <v>2.36</v>
      </c>
      <c r="W160">
        <v>10.45</v>
      </c>
      <c r="X160">
        <v>9</v>
      </c>
      <c r="Y160" t="s">
        <v>197</v>
      </c>
      <c r="Z160">
        <v>255</v>
      </c>
      <c r="AA160">
        <v>158</v>
      </c>
      <c r="AB160">
        <v>172</v>
      </c>
      <c r="AC160">
        <v>79</v>
      </c>
      <c r="AD160">
        <v>165</v>
      </c>
      <c r="AE160">
        <v>72</v>
      </c>
      <c r="AF160">
        <v>490</v>
      </c>
      <c r="AG160">
        <v>171</v>
      </c>
      <c r="AI160">
        <v>3.5714285714285716</v>
      </c>
    </row>
    <row r="161" spans="1:39" x14ac:dyDescent="0.2">
      <c r="A161" t="s">
        <v>198</v>
      </c>
      <c r="B161" t="s">
        <v>92</v>
      </c>
      <c r="C161" t="s">
        <v>41</v>
      </c>
      <c r="D161">
        <v>4.9000000000000004</v>
      </c>
      <c r="E161">
        <v>27</v>
      </c>
      <c r="F161">
        <v>2.5</v>
      </c>
      <c r="G161">
        <v>0.1</v>
      </c>
      <c r="H161">
        <v>0</v>
      </c>
      <c r="I161">
        <v>1</v>
      </c>
      <c r="J161">
        <v>958</v>
      </c>
      <c r="K161">
        <v>2</v>
      </c>
      <c r="L161">
        <v>16</v>
      </c>
      <c r="M161">
        <v>0</v>
      </c>
      <c r="N161">
        <v>0</v>
      </c>
      <c r="O161">
        <v>26.1</v>
      </c>
      <c r="P161">
        <v>2.8</v>
      </c>
      <c r="Q161">
        <v>0</v>
      </c>
      <c r="R161">
        <v>0.6</v>
      </c>
      <c r="S161">
        <v>5.5</v>
      </c>
      <c r="T161">
        <v>0.56000000000000005</v>
      </c>
      <c r="U161">
        <v>0.38</v>
      </c>
      <c r="V161">
        <v>0.94</v>
      </c>
      <c r="W161">
        <v>14.34</v>
      </c>
      <c r="X161">
        <v>11</v>
      </c>
      <c r="Y161" t="s">
        <v>1000</v>
      </c>
      <c r="Z161">
        <v>304</v>
      </c>
      <c r="AA161">
        <v>191</v>
      </c>
      <c r="AB161">
        <v>140</v>
      </c>
      <c r="AC161">
        <v>62</v>
      </c>
      <c r="AD161">
        <v>208</v>
      </c>
      <c r="AE161">
        <v>94</v>
      </c>
      <c r="AF161">
        <v>521</v>
      </c>
      <c r="AG161">
        <v>185</v>
      </c>
      <c r="AH161">
        <f>fpl_player_statistics_cleaned[[#This Row],[Total Points]] / fpl_player_statistics_cleaned[[#This Row],[Now Cost]]</f>
        <v>5.5102040816326525</v>
      </c>
      <c r="AI161">
        <f>fpl_player_statistics_cleaned[[#This Row],[Goals Scored]] + fpl_player_statistics_cleaned[[#This Row],[Assists]]</f>
        <v>1</v>
      </c>
      <c r="AJ161">
        <f>fpl_player_statistics_cleaned[[#This Row],[Total Points]] / fpl_player_statistics_cleaned[[#This Row],[Starts]]</f>
        <v>2.4545454545454546</v>
      </c>
      <c r="AK161">
        <f>((fpl_player_statistics_cleaned[[#This Row],[Points Per Game]]) * fpl_player_statistics_cleaned[[#This Row],[Form]]) / fpl_player_statistics_cleaned[[#This Row],[Now Cost]]</f>
        <v>1.4285714285714284</v>
      </c>
      <c r="AL161">
        <f>fpl_player_statistics_cleaned[[#This Row],[Minutes]] / fpl_player_statistics_cleaned[[#This Row],[Total Points]]</f>
        <v>35.481481481481481</v>
      </c>
      <c r="AM16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38.571428571428569</v>
      </c>
    </row>
    <row r="162" spans="1:39" x14ac:dyDescent="0.2">
      <c r="A162" t="s">
        <v>199</v>
      </c>
      <c r="B162" t="s">
        <v>47</v>
      </c>
      <c r="C162" t="s">
        <v>38</v>
      </c>
      <c r="D162">
        <v>3.9</v>
      </c>
      <c r="E162">
        <v>27</v>
      </c>
      <c r="F162">
        <v>5.4</v>
      </c>
      <c r="G162">
        <v>2.1</v>
      </c>
      <c r="H162">
        <v>1</v>
      </c>
      <c r="I162">
        <v>0</v>
      </c>
      <c r="J162">
        <v>348</v>
      </c>
      <c r="K162">
        <v>2</v>
      </c>
      <c r="L162">
        <v>5</v>
      </c>
      <c r="M162">
        <v>0</v>
      </c>
      <c r="N162">
        <v>5</v>
      </c>
      <c r="O162">
        <v>15.8</v>
      </c>
      <c r="P162">
        <v>4</v>
      </c>
      <c r="Q162">
        <v>1</v>
      </c>
      <c r="R162">
        <v>1</v>
      </c>
      <c r="S162">
        <v>6.9</v>
      </c>
      <c r="T162">
        <v>0.6</v>
      </c>
      <c r="U162">
        <v>0.04</v>
      </c>
      <c r="V162">
        <v>0.64</v>
      </c>
      <c r="W162">
        <v>7.53</v>
      </c>
      <c r="X162">
        <v>4</v>
      </c>
      <c r="Y162" t="s">
        <v>1000</v>
      </c>
      <c r="Z162">
        <v>741</v>
      </c>
      <c r="AA162">
        <v>239</v>
      </c>
      <c r="AB162">
        <v>75</v>
      </c>
      <c r="AC162">
        <v>27</v>
      </c>
      <c r="AD162">
        <v>20</v>
      </c>
      <c r="AE162">
        <v>12</v>
      </c>
      <c r="AF162">
        <v>120</v>
      </c>
      <c r="AG162">
        <v>47</v>
      </c>
      <c r="AH162">
        <f>fpl_player_statistics_cleaned[[#This Row],[Total Points]] / fpl_player_statistics_cleaned[[#This Row],[Now Cost]]</f>
        <v>6.9230769230769234</v>
      </c>
      <c r="AI162">
        <f>fpl_player_statistics_cleaned[[#This Row],[Goals Scored]] + fpl_player_statistics_cleaned[[#This Row],[Assists]]</f>
        <v>1</v>
      </c>
      <c r="AJ162">
        <f>fpl_player_statistics_cleaned[[#This Row],[Total Points]] / fpl_player_statistics_cleaned[[#This Row],[Starts]]</f>
        <v>6.75</v>
      </c>
      <c r="AK162">
        <f>((fpl_player_statistics_cleaned[[#This Row],[Points Per Game]]) * fpl_player_statistics_cleaned[[#This Row],[Form]]) / fpl_player_statistics_cleaned[[#This Row],[Now Cost]]</f>
        <v>5.5384615384615392</v>
      </c>
      <c r="AL162">
        <f>fpl_player_statistics_cleaned[[#This Row],[Minutes]] / fpl_player_statistics_cleaned[[#This Row],[Total Points]]</f>
        <v>12.888888888888889</v>
      </c>
      <c r="AM16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149.53846153846155</v>
      </c>
    </row>
    <row r="163" spans="1:39" x14ac:dyDescent="0.2">
      <c r="A163" t="s">
        <v>200</v>
      </c>
      <c r="B163" t="s">
        <v>70</v>
      </c>
      <c r="C163" t="s">
        <v>35</v>
      </c>
      <c r="D163">
        <v>8.5</v>
      </c>
      <c r="E163">
        <v>27</v>
      </c>
      <c r="F163">
        <v>2.5</v>
      </c>
      <c r="G163">
        <v>6.5</v>
      </c>
      <c r="H163">
        <v>1</v>
      </c>
      <c r="I163">
        <v>0</v>
      </c>
      <c r="J163">
        <v>866</v>
      </c>
      <c r="K163">
        <v>5</v>
      </c>
      <c r="L163">
        <v>8</v>
      </c>
      <c r="M163">
        <v>0</v>
      </c>
      <c r="N163">
        <v>2</v>
      </c>
      <c r="O163">
        <v>38.1</v>
      </c>
      <c r="P163">
        <v>1.8</v>
      </c>
      <c r="Q163">
        <v>0</v>
      </c>
      <c r="R163">
        <v>0.2</v>
      </c>
      <c r="S163">
        <v>3.2</v>
      </c>
      <c r="T163">
        <v>2.46</v>
      </c>
      <c r="U163">
        <v>0.32</v>
      </c>
      <c r="V163">
        <v>2.78</v>
      </c>
      <c r="W163">
        <v>12.84</v>
      </c>
      <c r="X163">
        <v>10</v>
      </c>
      <c r="Y163" t="s">
        <v>1000</v>
      </c>
      <c r="Z163">
        <v>10</v>
      </c>
      <c r="AA163">
        <v>5</v>
      </c>
      <c r="AB163">
        <v>219</v>
      </c>
      <c r="AC163">
        <v>23</v>
      </c>
      <c r="AD163">
        <v>215</v>
      </c>
      <c r="AE163">
        <v>21</v>
      </c>
      <c r="AF163">
        <v>56</v>
      </c>
      <c r="AG163">
        <v>12</v>
      </c>
      <c r="AH163">
        <f>fpl_player_statistics_cleaned[[#This Row],[Total Points]] / fpl_player_statistics_cleaned[[#This Row],[Now Cost]]</f>
        <v>3.1764705882352939</v>
      </c>
      <c r="AI163">
        <f>fpl_player_statistics_cleaned[[#This Row],[Goals Scored]] + fpl_player_statistics_cleaned[[#This Row],[Assists]]</f>
        <v>1</v>
      </c>
      <c r="AJ163">
        <f>fpl_player_statistics_cleaned[[#This Row],[Total Points]] / fpl_player_statistics_cleaned[[#This Row],[Starts]]</f>
        <v>2.7</v>
      </c>
      <c r="AK163">
        <f>((fpl_player_statistics_cleaned[[#This Row],[Points Per Game]]) * fpl_player_statistics_cleaned[[#This Row],[Form]]) / fpl_player_statistics_cleaned[[#This Row],[Now Cost]]</f>
        <v>0.52941176470588236</v>
      </c>
      <c r="AL163">
        <f>fpl_player_statistics_cleaned[[#This Row],[Minutes]] / fpl_player_statistics_cleaned[[#This Row],[Total Points]]</f>
        <v>32.074074074074076</v>
      </c>
      <c r="AM16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14.294117647058824</v>
      </c>
    </row>
    <row r="164" spans="1:39" x14ac:dyDescent="0.2">
      <c r="A164" t="s">
        <v>201</v>
      </c>
      <c r="B164" t="s">
        <v>49</v>
      </c>
      <c r="C164" t="s">
        <v>41</v>
      </c>
      <c r="D164">
        <v>7.9</v>
      </c>
      <c r="E164">
        <v>26</v>
      </c>
      <c r="F164">
        <v>2.6</v>
      </c>
      <c r="G164">
        <v>4.4000000000000004</v>
      </c>
      <c r="H164">
        <v>1</v>
      </c>
      <c r="I164">
        <v>0</v>
      </c>
      <c r="J164">
        <v>683</v>
      </c>
      <c r="K164">
        <v>1</v>
      </c>
      <c r="L164">
        <v>10</v>
      </c>
      <c r="M164">
        <v>0</v>
      </c>
      <c r="N164">
        <v>1</v>
      </c>
      <c r="O164">
        <v>45.7</v>
      </c>
      <c r="P164">
        <v>4.2</v>
      </c>
      <c r="Q164">
        <v>0</v>
      </c>
      <c r="R164">
        <v>0.5</v>
      </c>
      <c r="S164">
        <v>3.3</v>
      </c>
      <c r="T164">
        <v>1.6</v>
      </c>
      <c r="U164">
        <v>0.94</v>
      </c>
      <c r="V164">
        <v>2.54</v>
      </c>
      <c r="W164">
        <v>11.71</v>
      </c>
      <c r="X164">
        <v>8</v>
      </c>
      <c r="Y164" t="s">
        <v>1000</v>
      </c>
      <c r="Z164">
        <v>18</v>
      </c>
      <c r="AA164">
        <v>12</v>
      </c>
      <c r="AB164">
        <v>74</v>
      </c>
      <c r="AC164">
        <v>36</v>
      </c>
      <c r="AD164">
        <v>201</v>
      </c>
      <c r="AE164">
        <v>92</v>
      </c>
      <c r="AF164">
        <v>83</v>
      </c>
      <c r="AG164">
        <v>27</v>
      </c>
      <c r="AH164">
        <f>fpl_player_statistics_cleaned[[#This Row],[Total Points]] / fpl_player_statistics_cleaned[[#This Row],[Now Cost]]</f>
        <v>3.2911392405063289</v>
      </c>
      <c r="AI164">
        <f>fpl_player_statistics_cleaned[[#This Row],[Goals Scored]] + fpl_player_statistics_cleaned[[#This Row],[Assists]]</f>
        <v>1</v>
      </c>
      <c r="AJ164">
        <f>fpl_player_statistics_cleaned[[#This Row],[Total Points]] / fpl_player_statistics_cleaned[[#This Row],[Starts]]</f>
        <v>3.25</v>
      </c>
      <c r="AK164">
        <f>((fpl_player_statistics_cleaned[[#This Row],[Points Per Game]]) * fpl_player_statistics_cleaned[[#This Row],[Form]]) / fpl_player_statistics_cleaned[[#This Row],[Now Cost]]</f>
        <v>1.3822784810126585</v>
      </c>
      <c r="AL164">
        <f>fpl_player_statistics_cleaned[[#This Row],[Minutes]] / fpl_player_statistics_cleaned[[#This Row],[Total Points]]</f>
        <v>26.26923076923077</v>
      </c>
      <c r="AM16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35.939240506329114</v>
      </c>
    </row>
    <row r="165" spans="1:39" x14ac:dyDescent="0.2">
      <c r="A165" t="s">
        <v>927</v>
      </c>
      <c r="B165" t="s">
        <v>97</v>
      </c>
      <c r="C165" t="s">
        <v>41</v>
      </c>
      <c r="D165">
        <v>5.7</v>
      </c>
      <c r="E165">
        <v>26</v>
      </c>
      <c r="F165">
        <v>3.2</v>
      </c>
      <c r="G165">
        <v>0.2</v>
      </c>
      <c r="H165">
        <v>2</v>
      </c>
      <c r="I165">
        <v>1</v>
      </c>
      <c r="J165">
        <v>422</v>
      </c>
      <c r="K165">
        <v>1</v>
      </c>
      <c r="L165">
        <v>14</v>
      </c>
      <c r="M165">
        <v>0</v>
      </c>
      <c r="N165">
        <v>3</v>
      </c>
      <c r="O165">
        <v>33.1</v>
      </c>
      <c r="P165">
        <v>5.5</v>
      </c>
      <c r="Q165">
        <v>1</v>
      </c>
      <c r="R165">
        <v>1</v>
      </c>
      <c r="S165">
        <v>4.5999999999999996</v>
      </c>
      <c r="T165">
        <v>2.2799999999999998</v>
      </c>
      <c r="U165">
        <v>0.02</v>
      </c>
      <c r="V165">
        <v>2.2999999999999998</v>
      </c>
      <c r="W165">
        <v>7.99</v>
      </c>
      <c r="X165">
        <v>5</v>
      </c>
      <c r="Y165" t="s">
        <v>1000</v>
      </c>
      <c r="Z165">
        <v>120</v>
      </c>
      <c r="AA165">
        <v>78</v>
      </c>
      <c r="AB165">
        <v>27</v>
      </c>
      <c r="AC165">
        <v>12</v>
      </c>
      <c r="AD165">
        <v>149</v>
      </c>
      <c r="AE165">
        <v>67</v>
      </c>
      <c r="AF165">
        <v>341</v>
      </c>
      <c r="AG165">
        <v>118</v>
      </c>
      <c r="AH165">
        <f>fpl_player_statistics_cleaned[[#This Row],[Total Points]] / fpl_player_statistics_cleaned[[#This Row],[Now Cost]]</f>
        <v>4.5614035087719298</v>
      </c>
      <c r="AI165">
        <f>fpl_player_statistics_cleaned[[#This Row],[Goals Scored]] + fpl_player_statistics_cleaned[[#This Row],[Assists]]</f>
        <v>3</v>
      </c>
      <c r="AJ165">
        <f>fpl_player_statistics_cleaned[[#This Row],[Total Points]] / fpl_player_statistics_cleaned[[#This Row],[Starts]]</f>
        <v>5.2</v>
      </c>
      <c r="AK165">
        <f>((fpl_player_statistics_cleaned[[#This Row],[Points Per Game]]) * fpl_player_statistics_cleaned[[#This Row],[Form]]) / fpl_player_statistics_cleaned[[#This Row],[Now Cost]]</f>
        <v>3.0877192982456143</v>
      </c>
      <c r="AL165">
        <f>fpl_player_statistics_cleaned[[#This Row],[Minutes]] / fpl_player_statistics_cleaned[[#This Row],[Total Points]]</f>
        <v>16.23076923076923</v>
      </c>
      <c r="AM16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80.280701754385973</v>
      </c>
    </row>
    <row r="166" spans="1:39" x14ac:dyDescent="0.2">
      <c r="A166" t="s">
        <v>202</v>
      </c>
      <c r="B166" t="s">
        <v>72</v>
      </c>
      <c r="C166" t="s">
        <v>38</v>
      </c>
      <c r="D166">
        <v>4.9000000000000004</v>
      </c>
      <c r="E166">
        <v>26</v>
      </c>
      <c r="F166">
        <v>3.2</v>
      </c>
      <c r="G166">
        <v>0.5</v>
      </c>
      <c r="H166">
        <v>0</v>
      </c>
      <c r="I166">
        <v>0</v>
      </c>
      <c r="J166">
        <v>632</v>
      </c>
      <c r="K166">
        <v>2</v>
      </c>
      <c r="L166">
        <v>12</v>
      </c>
      <c r="M166">
        <v>0</v>
      </c>
      <c r="N166">
        <v>2</v>
      </c>
      <c r="O166">
        <v>23.1</v>
      </c>
      <c r="P166">
        <v>1.8</v>
      </c>
      <c r="Q166">
        <v>0</v>
      </c>
      <c r="R166">
        <v>0.4</v>
      </c>
      <c r="S166">
        <v>5.3</v>
      </c>
      <c r="T166">
        <v>0.78</v>
      </c>
      <c r="U166">
        <v>0.33</v>
      </c>
      <c r="V166">
        <v>1.1100000000000001</v>
      </c>
      <c r="W166">
        <v>9.9600000000000009</v>
      </c>
      <c r="X166">
        <v>7</v>
      </c>
      <c r="Y166" t="s">
        <v>1000</v>
      </c>
      <c r="Z166">
        <v>327</v>
      </c>
      <c r="AA166">
        <v>54</v>
      </c>
      <c r="AB166">
        <v>208</v>
      </c>
      <c r="AC166">
        <v>67</v>
      </c>
      <c r="AD166">
        <v>145</v>
      </c>
      <c r="AE166">
        <v>53</v>
      </c>
      <c r="AF166">
        <v>233</v>
      </c>
      <c r="AG166">
        <v>85</v>
      </c>
      <c r="AH166">
        <f>fpl_player_statistics_cleaned[[#This Row],[Total Points]] / fpl_player_statistics_cleaned[[#This Row],[Now Cost]]</f>
        <v>5.3061224489795915</v>
      </c>
      <c r="AI166">
        <f>fpl_player_statistics_cleaned[[#This Row],[Goals Scored]] + fpl_player_statistics_cleaned[[#This Row],[Assists]]</f>
        <v>0</v>
      </c>
      <c r="AJ166">
        <f>fpl_player_statistics_cleaned[[#This Row],[Total Points]] / fpl_player_statistics_cleaned[[#This Row],[Starts]]</f>
        <v>3.7142857142857144</v>
      </c>
      <c r="AK166">
        <f>((fpl_player_statistics_cleaned[[#This Row],[Points Per Game]]) * fpl_player_statistics_cleaned[[#This Row],[Form]]) / fpl_player_statistics_cleaned[[#This Row],[Now Cost]]</f>
        <v>1.1755102040816328</v>
      </c>
      <c r="AL166">
        <f>fpl_player_statistics_cleaned[[#This Row],[Minutes]] / fpl_player_statistics_cleaned[[#This Row],[Total Points]]</f>
        <v>24.307692307692307</v>
      </c>
      <c r="AM16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30.563265306122453</v>
      </c>
    </row>
    <row r="167" spans="1:39" x14ac:dyDescent="0.2">
      <c r="A167" t="s">
        <v>203</v>
      </c>
      <c r="B167" t="s">
        <v>54</v>
      </c>
      <c r="C167" t="s">
        <v>41</v>
      </c>
      <c r="D167">
        <v>5</v>
      </c>
      <c r="E167">
        <v>26</v>
      </c>
      <c r="F167">
        <v>2.4</v>
      </c>
      <c r="G167">
        <v>0.1</v>
      </c>
      <c r="H167">
        <v>0</v>
      </c>
      <c r="I167">
        <v>0</v>
      </c>
      <c r="J167">
        <v>983</v>
      </c>
      <c r="K167">
        <v>4</v>
      </c>
      <c r="L167">
        <v>10</v>
      </c>
      <c r="M167">
        <v>0</v>
      </c>
      <c r="N167">
        <v>0</v>
      </c>
      <c r="O167">
        <v>26.8</v>
      </c>
      <c r="P167">
        <v>3</v>
      </c>
      <c r="Q167">
        <v>0</v>
      </c>
      <c r="R167">
        <v>0.6</v>
      </c>
      <c r="S167">
        <v>5.2</v>
      </c>
      <c r="T167">
        <v>0.12</v>
      </c>
      <c r="U167">
        <v>0.64</v>
      </c>
      <c r="V167">
        <v>0.76</v>
      </c>
      <c r="W167">
        <v>12.68</v>
      </c>
      <c r="X167">
        <v>11</v>
      </c>
      <c r="Y167" t="s">
        <v>1000</v>
      </c>
      <c r="Z167">
        <v>286</v>
      </c>
      <c r="AA167">
        <v>179</v>
      </c>
      <c r="AB167">
        <v>128</v>
      </c>
      <c r="AC167">
        <v>59</v>
      </c>
      <c r="AD167">
        <v>220</v>
      </c>
      <c r="AE167">
        <v>99</v>
      </c>
      <c r="AF167">
        <v>549</v>
      </c>
      <c r="AG167">
        <v>203</v>
      </c>
      <c r="AH167">
        <f>fpl_player_statistics_cleaned[[#This Row],[Total Points]] / fpl_player_statistics_cleaned[[#This Row],[Now Cost]]</f>
        <v>5.2</v>
      </c>
      <c r="AI167">
        <f>fpl_player_statistics_cleaned[[#This Row],[Goals Scored]] + fpl_player_statistics_cleaned[[#This Row],[Assists]]</f>
        <v>0</v>
      </c>
      <c r="AJ167">
        <f>fpl_player_statistics_cleaned[[#This Row],[Total Points]] / fpl_player_statistics_cleaned[[#This Row],[Starts]]</f>
        <v>2.3636363636363638</v>
      </c>
      <c r="AK167">
        <f>((fpl_player_statistics_cleaned[[#This Row],[Points Per Game]]) * fpl_player_statistics_cleaned[[#This Row],[Form]]) / fpl_player_statistics_cleaned[[#This Row],[Now Cost]]</f>
        <v>1.44</v>
      </c>
      <c r="AL167">
        <f>fpl_player_statistics_cleaned[[#This Row],[Minutes]] / fpl_player_statistics_cleaned[[#This Row],[Total Points]]</f>
        <v>37.807692307692307</v>
      </c>
      <c r="AM16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37.44</v>
      </c>
    </row>
    <row r="168" spans="1:39" x14ac:dyDescent="0.2">
      <c r="A168" t="s">
        <v>204</v>
      </c>
      <c r="B168" t="s">
        <v>43</v>
      </c>
      <c r="C168" t="s">
        <v>41</v>
      </c>
      <c r="D168">
        <v>5</v>
      </c>
      <c r="E168">
        <v>26</v>
      </c>
      <c r="F168">
        <v>2.9</v>
      </c>
      <c r="G168">
        <v>0.4</v>
      </c>
      <c r="H168">
        <v>0</v>
      </c>
      <c r="I168">
        <v>1</v>
      </c>
      <c r="J168">
        <v>696</v>
      </c>
      <c r="K168">
        <v>3</v>
      </c>
      <c r="L168">
        <v>8</v>
      </c>
      <c r="M168">
        <v>0</v>
      </c>
      <c r="N168">
        <v>2</v>
      </c>
      <c r="O168">
        <v>33.200000000000003</v>
      </c>
      <c r="P168">
        <v>1.8</v>
      </c>
      <c r="Q168">
        <v>0</v>
      </c>
      <c r="R168">
        <v>0.4</v>
      </c>
      <c r="S168">
        <v>5.2</v>
      </c>
      <c r="T168">
        <v>0.26</v>
      </c>
      <c r="U168">
        <v>1.8</v>
      </c>
      <c r="V168">
        <v>2.06</v>
      </c>
      <c r="W168">
        <v>10.01</v>
      </c>
      <c r="X168">
        <v>9</v>
      </c>
      <c r="Y168" t="s">
        <v>1000</v>
      </c>
      <c r="Z168">
        <v>276</v>
      </c>
      <c r="AA168">
        <v>170</v>
      </c>
      <c r="AB168">
        <v>214</v>
      </c>
      <c r="AC168">
        <v>107</v>
      </c>
      <c r="AD168">
        <v>172</v>
      </c>
      <c r="AE168">
        <v>76</v>
      </c>
      <c r="AF168">
        <v>251</v>
      </c>
      <c r="AG168">
        <v>89</v>
      </c>
      <c r="AH168">
        <f>fpl_player_statistics_cleaned[[#This Row],[Total Points]] / fpl_player_statistics_cleaned[[#This Row],[Now Cost]]</f>
        <v>5.2</v>
      </c>
      <c r="AI168">
        <f>fpl_player_statistics_cleaned[[#This Row],[Goals Scored]] + fpl_player_statistics_cleaned[[#This Row],[Assists]]</f>
        <v>1</v>
      </c>
      <c r="AJ168">
        <f>fpl_player_statistics_cleaned[[#This Row],[Total Points]] / fpl_player_statistics_cleaned[[#This Row],[Starts]]</f>
        <v>2.8888888888888888</v>
      </c>
      <c r="AK168">
        <f>((fpl_player_statistics_cleaned[[#This Row],[Points Per Game]]) * fpl_player_statistics_cleaned[[#This Row],[Form]]) / fpl_player_statistics_cleaned[[#This Row],[Now Cost]]</f>
        <v>1.044</v>
      </c>
      <c r="AL168">
        <f>fpl_player_statistics_cleaned[[#This Row],[Minutes]] / fpl_player_statistics_cleaned[[#This Row],[Total Points]]</f>
        <v>26.76923076923077</v>
      </c>
      <c r="AM16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27.144000000000002</v>
      </c>
    </row>
    <row r="169" spans="1:39" x14ac:dyDescent="0.2">
      <c r="A169" t="s">
        <v>205</v>
      </c>
      <c r="B169" t="s">
        <v>81</v>
      </c>
      <c r="C169" t="s">
        <v>55</v>
      </c>
      <c r="D169">
        <v>4.4000000000000004</v>
      </c>
      <c r="E169">
        <v>26</v>
      </c>
      <c r="F169">
        <v>2.4</v>
      </c>
      <c r="G169">
        <v>4</v>
      </c>
      <c r="H169">
        <v>0</v>
      </c>
      <c r="I169">
        <v>0</v>
      </c>
      <c r="J169">
        <v>990</v>
      </c>
      <c r="K169">
        <v>2</v>
      </c>
      <c r="L169">
        <v>15</v>
      </c>
      <c r="M169">
        <v>25</v>
      </c>
      <c r="N169">
        <v>0</v>
      </c>
      <c r="O169">
        <v>22.8</v>
      </c>
      <c r="P169">
        <v>3.8</v>
      </c>
      <c r="Q169">
        <v>0</v>
      </c>
      <c r="R169">
        <v>0.9</v>
      </c>
      <c r="S169">
        <v>5.9</v>
      </c>
      <c r="T169">
        <v>0</v>
      </c>
      <c r="U169">
        <v>0.01</v>
      </c>
      <c r="V169">
        <v>0.01</v>
      </c>
      <c r="W169">
        <v>13.2</v>
      </c>
      <c r="X169">
        <v>11</v>
      </c>
      <c r="Y169" t="s">
        <v>1000</v>
      </c>
      <c r="Z169">
        <v>527</v>
      </c>
      <c r="AA169">
        <v>28</v>
      </c>
      <c r="AB169">
        <v>88</v>
      </c>
      <c r="AC169">
        <v>8</v>
      </c>
      <c r="AD169">
        <v>219</v>
      </c>
      <c r="AE169">
        <v>20</v>
      </c>
      <c r="AF169">
        <v>86</v>
      </c>
      <c r="AG169">
        <v>14</v>
      </c>
      <c r="AH169">
        <f>fpl_player_statistics_cleaned[[#This Row],[Total Points]] / fpl_player_statistics_cleaned[[#This Row],[Now Cost]]</f>
        <v>5.9090909090909083</v>
      </c>
      <c r="AI169">
        <f>fpl_player_statistics_cleaned[[#This Row],[Goals Scored]] + fpl_player_statistics_cleaned[[#This Row],[Assists]]</f>
        <v>0</v>
      </c>
      <c r="AJ169">
        <f>fpl_player_statistics_cleaned[[#This Row],[Total Points]] / fpl_player_statistics_cleaned[[#This Row],[Starts]]</f>
        <v>2.3636363636363638</v>
      </c>
      <c r="AK169">
        <f>((fpl_player_statistics_cleaned[[#This Row],[Points Per Game]]) * fpl_player_statistics_cleaned[[#This Row],[Form]]) / fpl_player_statistics_cleaned[[#This Row],[Now Cost]]</f>
        <v>2.0727272727272723</v>
      </c>
      <c r="AL169">
        <f>fpl_player_statistics_cleaned[[#This Row],[Minutes]] / fpl_player_statistics_cleaned[[#This Row],[Total Points]]</f>
        <v>38.07692307692308</v>
      </c>
      <c r="AM16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53.890909090909084</v>
      </c>
    </row>
    <row r="170" spans="1:39" x14ac:dyDescent="0.2">
      <c r="A170" t="s">
        <v>206</v>
      </c>
      <c r="B170" t="s">
        <v>92</v>
      </c>
      <c r="C170" t="s">
        <v>38</v>
      </c>
      <c r="D170">
        <v>4.5</v>
      </c>
      <c r="E170">
        <v>26</v>
      </c>
      <c r="F170">
        <v>3.2</v>
      </c>
      <c r="G170">
        <v>0.2</v>
      </c>
      <c r="H170">
        <v>0</v>
      </c>
      <c r="I170">
        <v>0</v>
      </c>
      <c r="J170">
        <v>720</v>
      </c>
      <c r="K170">
        <v>2</v>
      </c>
      <c r="L170">
        <v>9</v>
      </c>
      <c r="M170">
        <v>0</v>
      </c>
      <c r="N170">
        <v>0</v>
      </c>
      <c r="O170">
        <v>26.3</v>
      </c>
      <c r="P170">
        <v>2.8</v>
      </c>
      <c r="Q170">
        <v>0</v>
      </c>
      <c r="R170">
        <v>0.6</v>
      </c>
      <c r="S170">
        <v>5.8</v>
      </c>
      <c r="T170">
        <v>0.17</v>
      </c>
      <c r="U170">
        <v>0.51</v>
      </c>
      <c r="V170">
        <v>0.68</v>
      </c>
      <c r="W170">
        <v>10.65</v>
      </c>
      <c r="X170">
        <v>8</v>
      </c>
      <c r="Y170" t="s">
        <v>1000</v>
      </c>
      <c r="Z170">
        <v>400</v>
      </c>
      <c r="AA170">
        <v>74</v>
      </c>
      <c r="AB170">
        <v>136</v>
      </c>
      <c r="AC170">
        <v>50</v>
      </c>
      <c r="AD170">
        <v>143</v>
      </c>
      <c r="AE170">
        <v>51</v>
      </c>
      <c r="AF170">
        <v>385</v>
      </c>
      <c r="AG170">
        <v>138</v>
      </c>
      <c r="AH170">
        <f>fpl_player_statistics_cleaned[[#This Row],[Total Points]] / fpl_player_statistics_cleaned[[#This Row],[Now Cost]]</f>
        <v>5.7777777777777777</v>
      </c>
      <c r="AI170">
        <f>fpl_player_statistics_cleaned[[#This Row],[Goals Scored]] + fpl_player_statistics_cleaned[[#This Row],[Assists]]</f>
        <v>0</v>
      </c>
      <c r="AJ170">
        <f>fpl_player_statistics_cleaned[[#This Row],[Total Points]] / fpl_player_statistics_cleaned[[#This Row],[Starts]]</f>
        <v>3.25</v>
      </c>
      <c r="AK170">
        <f>((fpl_player_statistics_cleaned[[#This Row],[Points Per Game]]) * fpl_player_statistics_cleaned[[#This Row],[Form]]) / fpl_player_statistics_cleaned[[#This Row],[Now Cost]]</f>
        <v>1.9911111111111108</v>
      </c>
      <c r="AL170">
        <f>fpl_player_statistics_cleaned[[#This Row],[Minutes]] / fpl_player_statistics_cleaned[[#This Row],[Total Points]]</f>
        <v>27.692307692307693</v>
      </c>
      <c r="AM17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51.768888888888888</v>
      </c>
    </row>
    <row r="171" spans="1:39" x14ac:dyDescent="0.2">
      <c r="A171" t="s">
        <v>207</v>
      </c>
      <c r="B171" t="s">
        <v>40</v>
      </c>
      <c r="C171" t="s">
        <v>35</v>
      </c>
      <c r="D171">
        <v>7</v>
      </c>
      <c r="E171">
        <v>25</v>
      </c>
      <c r="F171">
        <v>2.8</v>
      </c>
      <c r="G171">
        <v>1.4</v>
      </c>
      <c r="H171">
        <v>1</v>
      </c>
      <c r="I171">
        <v>1</v>
      </c>
      <c r="J171">
        <v>721</v>
      </c>
      <c r="K171">
        <v>3</v>
      </c>
      <c r="L171">
        <v>11</v>
      </c>
      <c r="M171">
        <v>0</v>
      </c>
      <c r="N171">
        <v>2</v>
      </c>
      <c r="O171">
        <v>36.700000000000003</v>
      </c>
      <c r="P171">
        <v>0.8</v>
      </c>
      <c r="Q171">
        <v>0</v>
      </c>
      <c r="R171">
        <v>0.1</v>
      </c>
      <c r="S171">
        <v>3.6</v>
      </c>
      <c r="T171">
        <v>1.58</v>
      </c>
      <c r="U171">
        <v>0.36</v>
      </c>
      <c r="V171">
        <v>1.94</v>
      </c>
      <c r="W171">
        <v>7.63</v>
      </c>
      <c r="X171">
        <v>8</v>
      </c>
      <c r="Y171" t="s">
        <v>1000</v>
      </c>
      <c r="Z171">
        <v>35</v>
      </c>
      <c r="AA171">
        <v>15</v>
      </c>
      <c r="AB171">
        <v>304</v>
      </c>
      <c r="AC171">
        <v>34</v>
      </c>
      <c r="AD171">
        <v>188</v>
      </c>
      <c r="AE171">
        <v>18</v>
      </c>
      <c r="AF171">
        <v>157</v>
      </c>
      <c r="AG171">
        <v>22</v>
      </c>
      <c r="AH171">
        <f>fpl_player_statistics_cleaned[[#This Row],[Total Points]] / fpl_player_statistics_cleaned[[#This Row],[Now Cost]]</f>
        <v>3.5714285714285716</v>
      </c>
      <c r="AI171">
        <f>fpl_player_statistics_cleaned[[#This Row],[Goals Scored]] + fpl_player_statistics_cleaned[[#This Row],[Assists]]</f>
        <v>2</v>
      </c>
      <c r="AJ171">
        <f>fpl_player_statistics_cleaned[[#This Row],[Total Points]] / fpl_player_statistics_cleaned[[#This Row],[Starts]]</f>
        <v>3.125</v>
      </c>
      <c r="AK171">
        <f>((fpl_player_statistics_cleaned[[#This Row],[Points Per Game]]) * fpl_player_statistics_cleaned[[#This Row],[Form]]) / fpl_player_statistics_cleaned[[#This Row],[Now Cost]]</f>
        <v>0.31999999999999995</v>
      </c>
      <c r="AL171">
        <f>fpl_player_statistics_cleaned[[#This Row],[Minutes]] / fpl_player_statistics_cleaned[[#This Row],[Total Points]]</f>
        <v>28.84</v>
      </c>
      <c r="AM17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8</v>
      </c>
    </row>
    <row r="172" spans="1:39" x14ac:dyDescent="0.2">
      <c r="A172" t="s">
        <v>928</v>
      </c>
      <c r="B172" t="s">
        <v>92</v>
      </c>
      <c r="C172" t="s">
        <v>35</v>
      </c>
      <c r="D172">
        <v>6.2</v>
      </c>
      <c r="E172">
        <v>25</v>
      </c>
      <c r="F172">
        <v>2.5</v>
      </c>
      <c r="G172">
        <v>0.9</v>
      </c>
      <c r="H172">
        <v>1</v>
      </c>
      <c r="I172">
        <v>2</v>
      </c>
      <c r="J172">
        <v>449</v>
      </c>
      <c r="K172">
        <v>1</v>
      </c>
      <c r="L172">
        <v>5</v>
      </c>
      <c r="M172">
        <v>0</v>
      </c>
      <c r="N172">
        <v>1</v>
      </c>
      <c r="O172">
        <v>27.7</v>
      </c>
      <c r="P172">
        <v>3.2</v>
      </c>
      <c r="Q172">
        <v>0</v>
      </c>
      <c r="R172">
        <v>0.5</v>
      </c>
      <c r="S172">
        <v>4</v>
      </c>
      <c r="T172">
        <v>1.45</v>
      </c>
      <c r="U172">
        <v>0.28000000000000003</v>
      </c>
      <c r="V172">
        <v>1.73</v>
      </c>
      <c r="W172">
        <v>6.44</v>
      </c>
      <c r="X172">
        <v>6</v>
      </c>
      <c r="Y172" t="s">
        <v>1000</v>
      </c>
      <c r="Z172">
        <v>78</v>
      </c>
      <c r="AA172">
        <v>25</v>
      </c>
      <c r="AB172">
        <v>117</v>
      </c>
      <c r="AC172">
        <v>10</v>
      </c>
      <c r="AD172">
        <v>210</v>
      </c>
      <c r="AE172">
        <v>20</v>
      </c>
      <c r="AF172">
        <v>189</v>
      </c>
      <c r="AG172">
        <v>29</v>
      </c>
      <c r="AH172">
        <f>fpl_player_statistics_cleaned[[#This Row],[Total Points]] / fpl_player_statistics_cleaned[[#This Row],[Now Cost]]</f>
        <v>4.032258064516129</v>
      </c>
      <c r="AI172">
        <f>fpl_player_statistics_cleaned[[#This Row],[Goals Scored]] + fpl_player_statistics_cleaned[[#This Row],[Assists]]</f>
        <v>3</v>
      </c>
      <c r="AJ172">
        <f>fpl_player_statistics_cleaned[[#This Row],[Total Points]] / fpl_player_statistics_cleaned[[#This Row],[Starts]]</f>
        <v>4.166666666666667</v>
      </c>
      <c r="AK172">
        <f>((fpl_player_statistics_cleaned[[#This Row],[Points Per Game]]) * fpl_player_statistics_cleaned[[#This Row],[Form]]) / fpl_player_statistics_cleaned[[#This Row],[Now Cost]]</f>
        <v>1.2903225806451613</v>
      </c>
      <c r="AL172">
        <f>fpl_player_statistics_cleaned[[#This Row],[Minutes]] / fpl_player_statistics_cleaned[[#This Row],[Total Points]]</f>
        <v>17.96</v>
      </c>
      <c r="AM17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32.258064516129032</v>
      </c>
    </row>
    <row r="173" spans="1:39" x14ac:dyDescent="0.2">
      <c r="A173" t="s">
        <v>208</v>
      </c>
      <c r="B173" t="s">
        <v>100</v>
      </c>
      <c r="C173" t="s">
        <v>38</v>
      </c>
      <c r="D173">
        <v>4.4000000000000004</v>
      </c>
      <c r="E173">
        <v>25</v>
      </c>
      <c r="F173">
        <v>2.8</v>
      </c>
      <c r="G173">
        <v>0.3</v>
      </c>
      <c r="H173">
        <v>0</v>
      </c>
      <c r="I173">
        <v>0</v>
      </c>
      <c r="J173">
        <v>728</v>
      </c>
      <c r="K173">
        <v>2</v>
      </c>
      <c r="L173">
        <v>14</v>
      </c>
      <c r="M173">
        <v>0</v>
      </c>
      <c r="N173">
        <v>2</v>
      </c>
      <c r="O173">
        <v>24.7</v>
      </c>
      <c r="P173">
        <v>0.2</v>
      </c>
      <c r="Q173">
        <v>0</v>
      </c>
      <c r="R173">
        <v>0</v>
      </c>
      <c r="S173">
        <v>5.7</v>
      </c>
      <c r="T173">
        <v>0.81</v>
      </c>
      <c r="U173">
        <v>0.08</v>
      </c>
      <c r="V173">
        <v>0.89</v>
      </c>
      <c r="W173">
        <v>9.16</v>
      </c>
      <c r="X173">
        <v>8</v>
      </c>
      <c r="Y173" t="s">
        <v>1000</v>
      </c>
      <c r="Z173">
        <v>506</v>
      </c>
      <c r="AA173">
        <v>116</v>
      </c>
      <c r="AB173">
        <v>352</v>
      </c>
      <c r="AC173">
        <v>122</v>
      </c>
      <c r="AD173">
        <v>178</v>
      </c>
      <c r="AE173">
        <v>65</v>
      </c>
      <c r="AF173">
        <v>313</v>
      </c>
      <c r="AG173">
        <v>111</v>
      </c>
      <c r="AH173">
        <f>fpl_player_statistics_cleaned[[#This Row],[Total Points]] / fpl_player_statistics_cleaned[[#This Row],[Now Cost]]</f>
        <v>5.6818181818181817</v>
      </c>
      <c r="AI173">
        <f>fpl_player_statistics_cleaned[[#This Row],[Goals Scored]] + fpl_player_statistics_cleaned[[#This Row],[Assists]]</f>
        <v>0</v>
      </c>
      <c r="AJ173">
        <f>fpl_player_statistics_cleaned[[#This Row],[Total Points]] / fpl_player_statistics_cleaned[[#This Row],[Starts]]</f>
        <v>3.125</v>
      </c>
      <c r="AK173">
        <f>((fpl_player_statistics_cleaned[[#This Row],[Points Per Game]]) * fpl_player_statistics_cleaned[[#This Row],[Form]]) / fpl_player_statistics_cleaned[[#This Row],[Now Cost]]</f>
        <v>0.12727272727272726</v>
      </c>
      <c r="AL173">
        <f>fpl_player_statistics_cleaned[[#This Row],[Minutes]] / fpl_player_statistics_cleaned[[#This Row],[Total Points]]</f>
        <v>29.12</v>
      </c>
      <c r="AM17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3.1818181818181812</v>
      </c>
    </row>
    <row r="174" spans="1:39" x14ac:dyDescent="0.2">
      <c r="A174" t="s">
        <v>209</v>
      </c>
      <c r="B174" t="s">
        <v>70</v>
      </c>
      <c r="C174" t="s">
        <v>38</v>
      </c>
      <c r="D174">
        <v>4.3</v>
      </c>
      <c r="E174">
        <v>25</v>
      </c>
      <c r="F174">
        <v>3.1</v>
      </c>
      <c r="G174">
        <v>0.4</v>
      </c>
      <c r="H174">
        <v>0</v>
      </c>
      <c r="I174">
        <v>0</v>
      </c>
      <c r="J174">
        <v>597</v>
      </c>
      <c r="K174">
        <v>2</v>
      </c>
      <c r="L174">
        <v>6</v>
      </c>
      <c r="M174">
        <v>0</v>
      </c>
      <c r="N174">
        <v>2</v>
      </c>
      <c r="O174">
        <v>15.5</v>
      </c>
      <c r="P174">
        <v>4.2</v>
      </c>
      <c r="Q174">
        <v>0</v>
      </c>
      <c r="R174">
        <v>1</v>
      </c>
      <c r="S174">
        <v>5.8</v>
      </c>
      <c r="T174">
        <v>0.1</v>
      </c>
      <c r="U174">
        <v>0.17</v>
      </c>
      <c r="V174">
        <v>0.27</v>
      </c>
      <c r="W174">
        <v>7.83</v>
      </c>
      <c r="X174">
        <v>6</v>
      </c>
      <c r="Y174" t="s">
        <v>1000</v>
      </c>
      <c r="Z174">
        <v>587</v>
      </c>
      <c r="AA174">
        <v>145</v>
      </c>
      <c r="AB174">
        <v>67</v>
      </c>
      <c r="AC174">
        <v>24</v>
      </c>
      <c r="AD174">
        <v>152</v>
      </c>
      <c r="AE174">
        <v>54</v>
      </c>
      <c r="AF174">
        <v>286</v>
      </c>
      <c r="AG174">
        <v>104</v>
      </c>
      <c r="AH174">
        <f>fpl_player_statistics_cleaned[[#This Row],[Total Points]] / fpl_player_statistics_cleaned[[#This Row],[Now Cost]]</f>
        <v>5.8139534883720936</v>
      </c>
      <c r="AI174">
        <f>fpl_player_statistics_cleaned[[#This Row],[Goals Scored]] + fpl_player_statistics_cleaned[[#This Row],[Assists]]</f>
        <v>0</v>
      </c>
      <c r="AJ174">
        <f>fpl_player_statistics_cleaned[[#This Row],[Total Points]] / fpl_player_statistics_cleaned[[#This Row],[Starts]]</f>
        <v>4.166666666666667</v>
      </c>
      <c r="AK174">
        <f>((fpl_player_statistics_cleaned[[#This Row],[Points Per Game]]) * fpl_player_statistics_cleaned[[#This Row],[Form]]) / fpl_player_statistics_cleaned[[#This Row],[Now Cost]]</f>
        <v>3.0279069767441866</v>
      </c>
      <c r="AL174">
        <f>fpl_player_statistics_cleaned[[#This Row],[Minutes]] / fpl_player_statistics_cleaned[[#This Row],[Total Points]]</f>
        <v>23.88</v>
      </c>
      <c r="AM17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75.697674418604649</v>
      </c>
    </row>
    <row r="175" spans="1:39" x14ac:dyDescent="0.2">
      <c r="A175" t="s">
        <v>929</v>
      </c>
      <c r="B175" t="s">
        <v>153</v>
      </c>
      <c r="C175" t="s">
        <v>41</v>
      </c>
      <c r="D175">
        <v>5.3</v>
      </c>
      <c r="E175">
        <v>25</v>
      </c>
      <c r="F175">
        <v>2.2999999999999998</v>
      </c>
      <c r="G175">
        <v>0.1</v>
      </c>
      <c r="H175">
        <v>0</v>
      </c>
      <c r="I175">
        <v>0</v>
      </c>
      <c r="J175">
        <v>703</v>
      </c>
      <c r="K175">
        <v>0</v>
      </c>
      <c r="L175">
        <v>16</v>
      </c>
      <c r="M175">
        <v>0</v>
      </c>
      <c r="N175">
        <v>1</v>
      </c>
      <c r="O175">
        <v>14.4</v>
      </c>
      <c r="P175">
        <v>2</v>
      </c>
      <c r="Q175">
        <v>0</v>
      </c>
      <c r="R175">
        <v>0.4</v>
      </c>
      <c r="S175">
        <v>4.7</v>
      </c>
      <c r="T175">
        <v>0.04</v>
      </c>
      <c r="U175">
        <v>0.2</v>
      </c>
      <c r="V175">
        <v>0.24</v>
      </c>
      <c r="W175">
        <v>13.58</v>
      </c>
      <c r="X175">
        <v>8</v>
      </c>
      <c r="Y175" t="s">
        <v>1000</v>
      </c>
      <c r="Z175">
        <v>206</v>
      </c>
      <c r="AA175">
        <v>129</v>
      </c>
      <c r="AB175">
        <v>189</v>
      </c>
      <c r="AC175">
        <v>91</v>
      </c>
      <c r="AD175">
        <v>227</v>
      </c>
      <c r="AE175">
        <v>102</v>
      </c>
      <c r="AF175">
        <v>516</v>
      </c>
      <c r="AG175">
        <v>183</v>
      </c>
      <c r="AH175">
        <f>fpl_player_statistics_cleaned[[#This Row],[Total Points]] / fpl_player_statistics_cleaned[[#This Row],[Now Cost]]</f>
        <v>4.716981132075472</v>
      </c>
      <c r="AI175">
        <f>fpl_player_statistics_cleaned[[#This Row],[Goals Scored]] + fpl_player_statistics_cleaned[[#This Row],[Assists]]</f>
        <v>0</v>
      </c>
      <c r="AJ175">
        <f>fpl_player_statistics_cleaned[[#This Row],[Total Points]] / fpl_player_statistics_cleaned[[#This Row],[Starts]]</f>
        <v>3.125</v>
      </c>
      <c r="AK175">
        <f>((fpl_player_statistics_cleaned[[#This Row],[Points Per Game]]) * fpl_player_statistics_cleaned[[#This Row],[Form]]) / fpl_player_statistics_cleaned[[#This Row],[Now Cost]]</f>
        <v>0.86792452830188671</v>
      </c>
      <c r="AL175">
        <f>fpl_player_statistics_cleaned[[#This Row],[Minutes]] / fpl_player_statistics_cleaned[[#This Row],[Total Points]]</f>
        <v>28.12</v>
      </c>
      <c r="AM17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21.69811320754717</v>
      </c>
    </row>
    <row r="176" spans="1:39" hidden="1" x14ac:dyDescent="0.2">
      <c r="A176" t="s">
        <v>210</v>
      </c>
      <c r="B176" t="s">
        <v>122</v>
      </c>
      <c r="C176" t="s">
        <v>35</v>
      </c>
      <c r="D176">
        <v>7.2</v>
      </c>
      <c r="E176">
        <v>25</v>
      </c>
      <c r="F176">
        <v>3.1</v>
      </c>
      <c r="G176">
        <v>6</v>
      </c>
      <c r="H176">
        <v>2</v>
      </c>
      <c r="I176">
        <v>0</v>
      </c>
      <c r="J176">
        <v>538</v>
      </c>
      <c r="K176">
        <v>1</v>
      </c>
      <c r="L176">
        <v>8</v>
      </c>
      <c r="M176">
        <v>0</v>
      </c>
      <c r="N176">
        <v>3</v>
      </c>
      <c r="O176">
        <v>29.8</v>
      </c>
      <c r="P176">
        <v>0.2</v>
      </c>
      <c r="Q176">
        <v>1</v>
      </c>
      <c r="R176">
        <v>0</v>
      </c>
      <c r="S176">
        <v>3.5</v>
      </c>
      <c r="T176">
        <v>2.81</v>
      </c>
      <c r="U176">
        <v>0.11</v>
      </c>
      <c r="V176">
        <v>2.92</v>
      </c>
      <c r="W176">
        <v>7.84</v>
      </c>
      <c r="X176">
        <v>7</v>
      </c>
      <c r="Y176" t="s">
        <v>211</v>
      </c>
      <c r="Z176">
        <v>30</v>
      </c>
      <c r="AA176">
        <v>13</v>
      </c>
      <c r="AB176">
        <v>383</v>
      </c>
      <c r="AC176">
        <v>49</v>
      </c>
      <c r="AD176">
        <v>161</v>
      </c>
      <c r="AE176">
        <v>15</v>
      </c>
      <c r="AF176">
        <v>58</v>
      </c>
      <c r="AG176">
        <v>13</v>
      </c>
      <c r="AI176">
        <v>4.6938775510204076</v>
      </c>
    </row>
    <row r="177" spans="1:39" hidden="1" x14ac:dyDescent="0.2">
      <c r="A177" t="s">
        <v>212</v>
      </c>
      <c r="B177" t="s">
        <v>100</v>
      </c>
      <c r="C177" t="s">
        <v>35</v>
      </c>
      <c r="D177">
        <v>5.5</v>
      </c>
      <c r="E177">
        <v>25</v>
      </c>
      <c r="F177">
        <v>2.8</v>
      </c>
      <c r="G177">
        <v>1</v>
      </c>
      <c r="H177">
        <v>1</v>
      </c>
      <c r="I177">
        <v>1</v>
      </c>
      <c r="J177">
        <v>614</v>
      </c>
      <c r="K177">
        <v>2</v>
      </c>
      <c r="L177">
        <v>9</v>
      </c>
      <c r="M177">
        <v>0</v>
      </c>
      <c r="N177">
        <v>2</v>
      </c>
      <c r="O177">
        <v>36.6</v>
      </c>
      <c r="P177">
        <v>1.8</v>
      </c>
      <c r="Q177">
        <v>1</v>
      </c>
      <c r="R177">
        <v>0.3</v>
      </c>
      <c r="S177">
        <v>4.5</v>
      </c>
      <c r="T177">
        <v>2.02</v>
      </c>
      <c r="U177">
        <v>0.46</v>
      </c>
      <c r="V177">
        <v>2.48</v>
      </c>
      <c r="W177">
        <v>7.51</v>
      </c>
      <c r="X177">
        <v>7</v>
      </c>
      <c r="Y177" t="s">
        <v>213</v>
      </c>
      <c r="Z177">
        <v>138</v>
      </c>
      <c r="AA177">
        <v>34</v>
      </c>
      <c r="AB177">
        <v>216</v>
      </c>
      <c r="AC177">
        <v>22</v>
      </c>
      <c r="AD177">
        <v>183</v>
      </c>
      <c r="AE177">
        <v>16</v>
      </c>
      <c r="AF177">
        <v>175</v>
      </c>
      <c r="AG177">
        <v>25</v>
      </c>
      <c r="AI177">
        <v>4.5999999999999996</v>
      </c>
    </row>
    <row r="178" spans="1:39" x14ac:dyDescent="0.2">
      <c r="A178" t="s">
        <v>214</v>
      </c>
      <c r="B178" t="s">
        <v>63</v>
      </c>
      <c r="C178" t="s">
        <v>41</v>
      </c>
      <c r="D178">
        <v>6.3</v>
      </c>
      <c r="E178">
        <v>25</v>
      </c>
      <c r="F178">
        <v>2.5</v>
      </c>
      <c r="G178">
        <v>1.2</v>
      </c>
      <c r="H178">
        <v>0</v>
      </c>
      <c r="I178">
        <v>2</v>
      </c>
      <c r="J178">
        <v>637</v>
      </c>
      <c r="K178">
        <v>2</v>
      </c>
      <c r="L178">
        <v>8</v>
      </c>
      <c r="M178">
        <v>0</v>
      </c>
      <c r="N178">
        <v>0</v>
      </c>
      <c r="O178">
        <v>28.5</v>
      </c>
      <c r="P178">
        <v>2.5</v>
      </c>
      <c r="Q178">
        <v>0</v>
      </c>
      <c r="R178">
        <v>0.4</v>
      </c>
      <c r="S178">
        <v>4</v>
      </c>
      <c r="T178">
        <v>0.65</v>
      </c>
      <c r="U178">
        <v>0.38</v>
      </c>
      <c r="V178">
        <v>1.03</v>
      </c>
      <c r="W178">
        <v>7.77</v>
      </c>
      <c r="X178">
        <v>9</v>
      </c>
      <c r="Y178" t="s">
        <v>1000</v>
      </c>
      <c r="Z178">
        <v>71</v>
      </c>
      <c r="AA178">
        <v>49</v>
      </c>
      <c r="AB178">
        <v>160</v>
      </c>
      <c r="AC178">
        <v>69</v>
      </c>
      <c r="AD178">
        <v>211</v>
      </c>
      <c r="AE178">
        <v>95</v>
      </c>
      <c r="AF178">
        <v>161</v>
      </c>
      <c r="AG178">
        <v>56</v>
      </c>
      <c r="AH178">
        <f>fpl_player_statistics_cleaned[[#This Row],[Total Points]] / fpl_player_statistics_cleaned[[#This Row],[Now Cost]]</f>
        <v>3.9682539682539684</v>
      </c>
      <c r="AI178">
        <f>fpl_player_statistics_cleaned[[#This Row],[Goals Scored]] + fpl_player_statistics_cleaned[[#This Row],[Assists]]</f>
        <v>2</v>
      </c>
      <c r="AJ178">
        <f>fpl_player_statistics_cleaned[[#This Row],[Total Points]] / fpl_player_statistics_cleaned[[#This Row],[Starts]]</f>
        <v>2.7777777777777777</v>
      </c>
      <c r="AK178">
        <f>((fpl_player_statistics_cleaned[[#This Row],[Points Per Game]]) * fpl_player_statistics_cleaned[[#This Row],[Form]]) / fpl_player_statistics_cleaned[[#This Row],[Now Cost]]</f>
        <v>0.99206349206349209</v>
      </c>
      <c r="AL178">
        <f>fpl_player_statistics_cleaned[[#This Row],[Minutes]] / fpl_player_statistics_cleaned[[#This Row],[Total Points]]</f>
        <v>25.48</v>
      </c>
      <c r="AM17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24.801587301587304</v>
      </c>
    </row>
    <row r="179" spans="1:39" x14ac:dyDescent="0.2">
      <c r="A179" t="s">
        <v>215</v>
      </c>
      <c r="B179" t="s">
        <v>153</v>
      </c>
      <c r="C179" t="s">
        <v>38</v>
      </c>
      <c r="D179">
        <v>4.4000000000000004</v>
      </c>
      <c r="E179">
        <v>25</v>
      </c>
      <c r="F179">
        <v>3.1</v>
      </c>
      <c r="G179">
        <v>0.1</v>
      </c>
      <c r="H179">
        <v>1</v>
      </c>
      <c r="I179">
        <v>1</v>
      </c>
      <c r="J179">
        <v>664</v>
      </c>
      <c r="K179">
        <v>0</v>
      </c>
      <c r="L179">
        <v>16</v>
      </c>
      <c r="M179">
        <v>0</v>
      </c>
      <c r="N179">
        <v>2</v>
      </c>
      <c r="O179">
        <v>30.7</v>
      </c>
      <c r="P179">
        <v>2</v>
      </c>
      <c r="Q179">
        <v>1</v>
      </c>
      <c r="R179">
        <v>0.5</v>
      </c>
      <c r="S179">
        <v>5.7</v>
      </c>
      <c r="T179">
        <v>0.8</v>
      </c>
      <c r="U179">
        <v>0.46</v>
      </c>
      <c r="V179">
        <v>1.26</v>
      </c>
      <c r="W179">
        <v>11.19</v>
      </c>
      <c r="X179">
        <v>7</v>
      </c>
      <c r="Y179" t="s">
        <v>1000</v>
      </c>
      <c r="Z179">
        <v>510</v>
      </c>
      <c r="AA179">
        <v>118</v>
      </c>
      <c r="AB179">
        <v>182</v>
      </c>
      <c r="AC179">
        <v>62</v>
      </c>
      <c r="AD179">
        <v>153</v>
      </c>
      <c r="AE179">
        <v>55</v>
      </c>
      <c r="AF179">
        <v>484</v>
      </c>
      <c r="AG179">
        <v>175</v>
      </c>
      <c r="AH179">
        <f>fpl_player_statistics_cleaned[[#This Row],[Total Points]] / fpl_player_statistics_cleaned[[#This Row],[Now Cost]]</f>
        <v>5.6818181818181817</v>
      </c>
      <c r="AI179">
        <f>fpl_player_statistics_cleaned[[#This Row],[Goals Scored]] + fpl_player_statistics_cleaned[[#This Row],[Assists]]</f>
        <v>2</v>
      </c>
      <c r="AJ179">
        <f>fpl_player_statistics_cleaned[[#This Row],[Total Points]] / fpl_player_statistics_cleaned[[#This Row],[Starts]]</f>
        <v>3.5714285714285716</v>
      </c>
      <c r="AK179">
        <f>((fpl_player_statistics_cleaned[[#This Row],[Points Per Game]]) * fpl_player_statistics_cleaned[[#This Row],[Form]]) / fpl_player_statistics_cleaned[[#This Row],[Now Cost]]</f>
        <v>1.4090909090909089</v>
      </c>
      <c r="AL179">
        <f>fpl_player_statistics_cleaned[[#This Row],[Minutes]] / fpl_player_statistics_cleaned[[#This Row],[Total Points]]</f>
        <v>26.56</v>
      </c>
      <c r="AM17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35.227272727272727</v>
      </c>
    </row>
    <row r="180" spans="1:39" x14ac:dyDescent="0.2">
      <c r="A180" t="s">
        <v>216</v>
      </c>
      <c r="B180" t="s">
        <v>34</v>
      </c>
      <c r="C180" t="s">
        <v>41</v>
      </c>
      <c r="D180">
        <v>6.3</v>
      </c>
      <c r="E180">
        <v>25</v>
      </c>
      <c r="F180">
        <v>2.2999999999999998</v>
      </c>
      <c r="G180">
        <v>0.5</v>
      </c>
      <c r="H180">
        <v>0</v>
      </c>
      <c r="I180">
        <v>2</v>
      </c>
      <c r="J180">
        <v>640</v>
      </c>
      <c r="K180">
        <v>3</v>
      </c>
      <c r="L180">
        <v>4</v>
      </c>
      <c r="M180">
        <v>0</v>
      </c>
      <c r="N180">
        <v>0</v>
      </c>
      <c r="O180">
        <v>30.9</v>
      </c>
      <c r="P180">
        <v>2.5</v>
      </c>
      <c r="Q180">
        <v>0</v>
      </c>
      <c r="R180">
        <v>0.4</v>
      </c>
      <c r="S180">
        <v>4</v>
      </c>
      <c r="T180">
        <v>0.1</v>
      </c>
      <c r="U180">
        <v>1.26</v>
      </c>
      <c r="V180">
        <v>1.36</v>
      </c>
      <c r="W180">
        <v>6.52</v>
      </c>
      <c r="X180">
        <v>7</v>
      </c>
      <c r="Y180" t="s">
        <v>1000</v>
      </c>
      <c r="Z180">
        <v>68</v>
      </c>
      <c r="AA180">
        <v>46</v>
      </c>
      <c r="AB180">
        <v>159</v>
      </c>
      <c r="AC180">
        <v>68</v>
      </c>
      <c r="AD180">
        <v>231</v>
      </c>
      <c r="AE180">
        <v>105</v>
      </c>
      <c r="AF180">
        <v>230</v>
      </c>
      <c r="AG180">
        <v>80</v>
      </c>
      <c r="AH180">
        <f>fpl_player_statistics_cleaned[[#This Row],[Total Points]] / fpl_player_statistics_cleaned[[#This Row],[Now Cost]]</f>
        <v>3.9682539682539684</v>
      </c>
      <c r="AI180">
        <f>fpl_player_statistics_cleaned[[#This Row],[Goals Scored]] + fpl_player_statistics_cleaned[[#This Row],[Assists]]</f>
        <v>2</v>
      </c>
      <c r="AJ180">
        <f>fpl_player_statistics_cleaned[[#This Row],[Total Points]] / fpl_player_statistics_cleaned[[#This Row],[Starts]]</f>
        <v>3.5714285714285716</v>
      </c>
      <c r="AK180">
        <f>((fpl_player_statistics_cleaned[[#This Row],[Points Per Game]]) * fpl_player_statistics_cleaned[[#This Row],[Form]]) / fpl_player_statistics_cleaned[[#This Row],[Now Cost]]</f>
        <v>0.91269841269841268</v>
      </c>
      <c r="AL180">
        <f>fpl_player_statistics_cleaned[[#This Row],[Minutes]] / fpl_player_statistics_cleaned[[#This Row],[Total Points]]</f>
        <v>25.6</v>
      </c>
      <c r="AM18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22.817460317460316</v>
      </c>
    </row>
    <row r="181" spans="1:39" x14ac:dyDescent="0.2">
      <c r="A181" t="s">
        <v>217</v>
      </c>
      <c r="B181" t="s">
        <v>65</v>
      </c>
      <c r="C181" t="s">
        <v>35</v>
      </c>
      <c r="D181">
        <v>5.3</v>
      </c>
      <c r="E181">
        <v>25</v>
      </c>
      <c r="F181">
        <v>3.1</v>
      </c>
      <c r="G181">
        <v>0.3</v>
      </c>
      <c r="H181">
        <v>3</v>
      </c>
      <c r="I181">
        <v>0</v>
      </c>
      <c r="J181">
        <v>343</v>
      </c>
      <c r="K181">
        <v>1</v>
      </c>
      <c r="L181">
        <v>5</v>
      </c>
      <c r="M181">
        <v>0</v>
      </c>
      <c r="N181">
        <v>3</v>
      </c>
      <c r="O181">
        <v>26.1</v>
      </c>
      <c r="P181">
        <v>5.2</v>
      </c>
      <c r="Q181">
        <v>1</v>
      </c>
      <c r="R181">
        <v>1</v>
      </c>
      <c r="S181">
        <v>4.7</v>
      </c>
      <c r="T181">
        <v>1.04</v>
      </c>
      <c r="U181">
        <v>0.06</v>
      </c>
      <c r="V181">
        <v>1.1000000000000001</v>
      </c>
      <c r="W181">
        <v>8.15</v>
      </c>
      <c r="X181">
        <v>4</v>
      </c>
      <c r="Y181" t="s">
        <v>1000</v>
      </c>
      <c r="Z181">
        <v>201</v>
      </c>
      <c r="AA181">
        <v>44</v>
      </c>
      <c r="AB181">
        <v>37</v>
      </c>
      <c r="AC181">
        <v>6</v>
      </c>
      <c r="AD181">
        <v>159</v>
      </c>
      <c r="AE181">
        <v>14</v>
      </c>
      <c r="AF181">
        <v>309</v>
      </c>
      <c r="AG181">
        <v>50</v>
      </c>
      <c r="AH181">
        <f>fpl_player_statistics_cleaned[[#This Row],[Total Points]] / fpl_player_statistics_cleaned[[#This Row],[Now Cost]]</f>
        <v>4.716981132075472</v>
      </c>
      <c r="AI181">
        <f>fpl_player_statistics_cleaned[[#This Row],[Goals Scored]] + fpl_player_statistics_cleaned[[#This Row],[Assists]]</f>
        <v>3</v>
      </c>
      <c r="AJ181">
        <f>fpl_player_statistics_cleaned[[#This Row],[Total Points]] / fpl_player_statistics_cleaned[[#This Row],[Starts]]</f>
        <v>6.25</v>
      </c>
      <c r="AK181">
        <f>((fpl_player_statistics_cleaned[[#This Row],[Points Per Game]]) * fpl_player_statistics_cleaned[[#This Row],[Form]]) / fpl_player_statistics_cleaned[[#This Row],[Now Cost]]</f>
        <v>3.0415094339622644</v>
      </c>
      <c r="AL181">
        <f>fpl_player_statistics_cleaned[[#This Row],[Minutes]] / fpl_player_statistics_cleaned[[#This Row],[Total Points]]</f>
        <v>13.72</v>
      </c>
      <c r="AM18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76.037735849056617</v>
      </c>
    </row>
    <row r="182" spans="1:39" x14ac:dyDescent="0.2">
      <c r="A182" t="s">
        <v>930</v>
      </c>
      <c r="B182" t="s">
        <v>72</v>
      </c>
      <c r="C182" t="s">
        <v>38</v>
      </c>
      <c r="D182">
        <v>5.4</v>
      </c>
      <c r="E182">
        <v>25</v>
      </c>
      <c r="F182">
        <v>4.2</v>
      </c>
      <c r="G182">
        <v>1.8</v>
      </c>
      <c r="H182">
        <v>0</v>
      </c>
      <c r="I182">
        <v>0</v>
      </c>
      <c r="J182">
        <v>424</v>
      </c>
      <c r="K182">
        <v>3</v>
      </c>
      <c r="L182">
        <v>3</v>
      </c>
      <c r="M182">
        <v>0</v>
      </c>
      <c r="N182">
        <v>0</v>
      </c>
      <c r="O182">
        <v>15.7</v>
      </c>
      <c r="P182">
        <v>0.5</v>
      </c>
      <c r="Q182">
        <v>0</v>
      </c>
      <c r="R182">
        <v>0.1</v>
      </c>
      <c r="S182">
        <v>4.5999999999999996</v>
      </c>
      <c r="T182">
        <v>0.1</v>
      </c>
      <c r="U182">
        <v>0.09</v>
      </c>
      <c r="V182">
        <v>0.19</v>
      </c>
      <c r="W182">
        <v>3.4</v>
      </c>
      <c r="X182">
        <v>4</v>
      </c>
      <c r="Y182" t="s">
        <v>1000</v>
      </c>
      <c r="Z182">
        <v>158</v>
      </c>
      <c r="AA182">
        <v>18</v>
      </c>
      <c r="AB182">
        <v>330</v>
      </c>
      <c r="AC182">
        <v>110</v>
      </c>
      <c r="AD182">
        <v>65</v>
      </c>
      <c r="AE182">
        <v>28</v>
      </c>
      <c r="AF182">
        <v>135</v>
      </c>
      <c r="AG182">
        <v>51</v>
      </c>
      <c r="AH182">
        <f>fpl_player_statistics_cleaned[[#This Row],[Total Points]] / fpl_player_statistics_cleaned[[#This Row],[Now Cost]]</f>
        <v>4.6296296296296298</v>
      </c>
      <c r="AI182">
        <f>fpl_player_statistics_cleaned[[#This Row],[Goals Scored]] + fpl_player_statistics_cleaned[[#This Row],[Assists]]</f>
        <v>0</v>
      </c>
      <c r="AJ182">
        <f>fpl_player_statistics_cleaned[[#This Row],[Total Points]] / fpl_player_statistics_cleaned[[#This Row],[Starts]]</f>
        <v>6.25</v>
      </c>
      <c r="AK182">
        <f>((fpl_player_statistics_cleaned[[#This Row],[Points Per Game]]) * fpl_player_statistics_cleaned[[#This Row],[Form]]) / fpl_player_statistics_cleaned[[#This Row],[Now Cost]]</f>
        <v>0.3888888888888889</v>
      </c>
      <c r="AL182">
        <f>fpl_player_statistics_cleaned[[#This Row],[Minutes]] / fpl_player_statistics_cleaned[[#This Row],[Total Points]]</f>
        <v>16.96</v>
      </c>
      <c r="AM18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9.7222222222222232</v>
      </c>
    </row>
    <row r="183" spans="1:39" x14ac:dyDescent="0.2">
      <c r="A183" t="s">
        <v>931</v>
      </c>
      <c r="B183" t="s">
        <v>153</v>
      </c>
      <c r="C183" t="s">
        <v>41</v>
      </c>
      <c r="D183">
        <v>5.3</v>
      </c>
      <c r="E183">
        <v>24</v>
      </c>
      <c r="F183">
        <v>2.2000000000000002</v>
      </c>
      <c r="G183">
        <v>0.1</v>
      </c>
      <c r="H183">
        <v>0</v>
      </c>
      <c r="I183">
        <v>0</v>
      </c>
      <c r="J183">
        <v>835</v>
      </c>
      <c r="K183">
        <v>1</v>
      </c>
      <c r="L183">
        <v>20</v>
      </c>
      <c r="M183">
        <v>0</v>
      </c>
      <c r="N183">
        <v>0</v>
      </c>
      <c r="O183">
        <v>27</v>
      </c>
      <c r="P183">
        <v>1.5</v>
      </c>
      <c r="Q183">
        <v>0</v>
      </c>
      <c r="R183">
        <v>0.3</v>
      </c>
      <c r="S183">
        <v>4.5</v>
      </c>
      <c r="T183">
        <v>0.36</v>
      </c>
      <c r="U183">
        <v>0.47</v>
      </c>
      <c r="V183">
        <v>0.83</v>
      </c>
      <c r="W183">
        <v>15.04</v>
      </c>
      <c r="X183">
        <v>9</v>
      </c>
      <c r="Y183" t="s">
        <v>1000</v>
      </c>
      <c r="Z183">
        <v>202</v>
      </c>
      <c r="AA183">
        <v>127</v>
      </c>
      <c r="AB183">
        <v>229</v>
      </c>
      <c r="AC183">
        <v>111</v>
      </c>
      <c r="AD183">
        <v>244</v>
      </c>
      <c r="AE183">
        <v>111</v>
      </c>
      <c r="AF183">
        <v>480</v>
      </c>
      <c r="AG183">
        <v>165</v>
      </c>
      <c r="AH183">
        <f>fpl_player_statistics_cleaned[[#This Row],[Total Points]] / fpl_player_statistics_cleaned[[#This Row],[Now Cost]]</f>
        <v>4.5283018867924527</v>
      </c>
      <c r="AI183">
        <f>fpl_player_statistics_cleaned[[#This Row],[Goals Scored]] + fpl_player_statistics_cleaned[[#This Row],[Assists]]</f>
        <v>0</v>
      </c>
      <c r="AJ183">
        <f>fpl_player_statistics_cleaned[[#This Row],[Total Points]] / fpl_player_statistics_cleaned[[#This Row],[Starts]]</f>
        <v>2.6666666666666665</v>
      </c>
      <c r="AK183">
        <f>((fpl_player_statistics_cleaned[[#This Row],[Points Per Game]]) * fpl_player_statistics_cleaned[[#This Row],[Form]]) / fpl_player_statistics_cleaned[[#This Row],[Now Cost]]</f>
        <v>0.62264150943396235</v>
      </c>
      <c r="AL183">
        <f>fpl_player_statistics_cleaned[[#This Row],[Minutes]] / fpl_player_statistics_cleaned[[#This Row],[Total Points]]</f>
        <v>34.791666666666664</v>
      </c>
      <c r="AM18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14.943396226415096</v>
      </c>
    </row>
    <row r="184" spans="1:39" x14ac:dyDescent="0.2">
      <c r="A184" t="s">
        <v>218</v>
      </c>
      <c r="B184" t="s">
        <v>72</v>
      </c>
      <c r="C184" t="s">
        <v>41</v>
      </c>
      <c r="D184">
        <v>6.3</v>
      </c>
      <c r="E184">
        <v>24</v>
      </c>
      <c r="F184">
        <v>2.2000000000000002</v>
      </c>
      <c r="G184">
        <v>0.4</v>
      </c>
      <c r="H184">
        <v>1</v>
      </c>
      <c r="I184">
        <v>0</v>
      </c>
      <c r="J184">
        <v>464</v>
      </c>
      <c r="K184">
        <v>2</v>
      </c>
      <c r="L184">
        <v>6</v>
      </c>
      <c r="M184">
        <v>0</v>
      </c>
      <c r="N184">
        <v>2</v>
      </c>
      <c r="O184">
        <v>30.4</v>
      </c>
      <c r="P184">
        <v>3</v>
      </c>
      <c r="Q184">
        <v>0</v>
      </c>
      <c r="R184">
        <v>0.5</v>
      </c>
      <c r="S184">
        <v>3.8</v>
      </c>
      <c r="T184">
        <v>1.04</v>
      </c>
      <c r="U184">
        <v>0.94</v>
      </c>
      <c r="V184">
        <v>1.98</v>
      </c>
      <c r="W184">
        <v>4.01</v>
      </c>
      <c r="X184">
        <v>4</v>
      </c>
      <c r="Y184" t="s">
        <v>1000</v>
      </c>
      <c r="Z184">
        <v>69</v>
      </c>
      <c r="AA184">
        <v>47</v>
      </c>
      <c r="AB184">
        <v>132</v>
      </c>
      <c r="AC184">
        <v>61</v>
      </c>
      <c r="AD184">
        <v>252</v>
      </c>
      <c r="AE184">
        <v>117</v>
      </c>
      <c r="AF184">
        <v>284</v>
      </c>
      <c r="AG184">
        <v>100</v>
      </c>
      <c r="AH184">
        <f>fpl_player_statistics_cleaned[[#This Row],[Total Points]] / fpl_player_statistics_cleaned[[#This Row],[Now Cost]]</f>
        <v>3.8095238095238098</v>
      </c>
      <c r="AI184">
        <f>fpl_player_statistics_cleaned[[#This Row],[Goals Scored]] + fpl_player_statistics_cleaned[[#This Row],[Assists]]</f>
        <v>1</v>
      </c>
      <c r="AJ184">
        <f>fpl_player_statistics_cleaned[[#This Row],[Total Points]] / fpl_player_statistics_cleaned[[#This Row],[Starts]]</f>
        <v>6</v>
      </c>
      <c r="AK184">
        <f>((fpl_player_statistics_cleaned[[#This Row],[Points Per Game]]) * fpl_player_statistics_cleaned[[#This Row],[Form]]) / fpl_player_statistics_cleaned[[#This Row],[Now Cost]]</f>
        <v>1.0476190476190477</v>
      </c>
      <c r="AL184">
        <f>fpl_player_statistics_cleaned[[#This Row],[Minutes]] / fpl_player_statistics_cleaned[[#This Row],[Total Points]]</f>
        <v>19.333333333333332</v>
      </c>
      <c r="AM18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25.142857142857146</v>
      </c>
    </row>
    <row r="185" spans="1:39" hidden="1" x14ac:dyDescent="0.2">
      <c r="A185" t="s">
        <v>219</v>
      </c>
      <c r="B185" t="s">
        <v>70</v>
      </c>
      <c r="C185" t="s">
        <v>38</v>
      </c>
      <c r="D185">
        <v>4.4000000000000004</v>
      </c>
      <c r="E185">
        <v>24</v>
      </c>
      <c r="F185">
        <v>3.4</v>
      </c>
      <c r="G185">
        <v>0.8</v>
      </c>
      <c r="H185">
        <v>0</v>
      </c>
      <c r="I185">
        <v>0</v>
      </c>
      <c r="J185">
        <v>497</v>
      </c>
      <c r="K185">
        <v>2</v>
      </c>
      <c r="L185">
        <v>6</v>
      </c>
      <c r="M185">
        <v>0</v>
      </c>
      <c r="N185">
        <v>1</v>
      </c>
      <c r="O185">
        <v>19</v>
      </c>
      <c r="P185">
        <v>0.2</v>
      </c>
      <c r="Q185">
        <v>0</v>
      </c>
      <c r="R185">
        <v>0</v>
      </c>
      <c r="S185">
        <v>5.5</v>
      </c>
      <c r="T185">
        <v>0.33</v>
      </c>
      <c r="U185">
        <v>0.09</v>
      </c>
      <c r="V185">
        <v>0.42</v>
      </c>
      <c r="W185">
        <v>8.7799999999999994</v>
      </c>
      <c r="X185">
        <v>6</v>
      </c>
      <c r="Y185" t="s">
        <v>220</v>
      </c>
      <c r="Z185">
        <v>497</v>
      </c>
      <c r="AA185">
        <v>108</v>
      </c>
      <c r="AB185">
        <v>351</v>
      </c>
      <c r="AC185">
        <v>121</v>
      </c>
      <c r="AD185">
        <v>125</v>
      </c>
      <c r="AE185">
        <v>45</v>
      </c>
      <c r="AF185">
        <v>193</v>
      </c>
      <c r="AG185">
        <v>72</v>
      </c>
      <c r="AI185">
        <v>3.7931034482758621</v>
      </c>
    </row>
    <row r="186" spans="1:39" hidden="1" x14ac:dyDescent="0.2">
      <c r="A186" t="s">
        <v>221</v>
      </c>
      <c r="B186" t="s">
        <v>51</v>
      </c>
      <c r="C186" t="s">
        <v>41</v>
      </c>
      <c r="D186">
        <v>5.4</v>
      </c>
      <c r="E186">
        <v>24</v>
      </c>
      <c r="F186">
        <v>2.7</v>
      </c>
      <c r="G186">
        <v>0.3</v>
      </c>
      <c r="H186">
        <v>1</v>
      </c>
      <c r="I186">
        <v>1</v>
      </c>
      <c r="J186">
        <v>409</v>
      </c>
      <c r="K186">
        <v>2</v>
      </c>
      <c r="L186">
        <v>3</v>
      </c>
      <c r="M186">
        <v>0</v>
      </c>
      <c r="N186">
        <v>0</v>
      </c>
      <c r="O186">
        <v>22.8</v>
      </c>
      <c r="P186">
        <v>0.8</v>
      </c>
      <c r="Q186">
        <v>1</v>
      </c>
      <c r="R186">
        <v>0.1</v>
      </c>
      <c r="S186">
        <v>4.4000000000000004</v>
      </c>
      <c r="T186">
        <v>0.59</v>
      </c>
      <c r="U186">
        <v>0.23</v>
      </c>
      <c r="V186">
        <v>0.82</v>
      </c>
      <c r="W186">
        <v>4.88</v>
      </c>
      <c r="X186">
        <v>5</v>
      </c>
      <c r="Y186" t="s">
        <v>222</v>
      </c>
      <c r="Z186">
        <v>187</v>
      </c>
      <c r="AA186">
        <v>117</v>
      </c>
      <c r="AB186">
        <v>299</v>
      </c>
      <c r="AC186">
        <v>148</v>
      </c>
      <c r="AD186">
        <v>194</v>
      </c>
      <c r="AE186">
        <v>87</v>
      </c>
      <c r="AF186">
        <v>314</v>
      </c>
      <c r="AG186">
        <v>110</v>
      </c>
      <c r="AI186">
        <v>5</v>
      </c>
    </row>
    <row r="187" spans="1:39" x14ac:dyDescent="0.2">
      <c r="A187" t="s">
        <v>223</v>
      </c>
      <c r="B187" t="s">
        <v>100</v>
      </c>
      <c r="C187" t="s">
        <v>41</v>
      </c>
      <c r="D187">
        <v>4.9000000000000004</v>
      </c>
      <c r="E187">
        <v>24</v>
      </c>
      <c r="F187">
        <v>2.7</v>
      </c>
      <c r="G187">
        <v>0.1</v>
      </c>
      <c r="H187">
        <v>0</v>
      </c>
      <c r="I187">
        <v>0</v>
      </c>
      <c r="J187">
        <v>787</v>
      </c>
      <c r="K187">
        <v>1</v>
      </c>
      <c r="L187">
        <v>15</v>
      </c>
      <c r="M187">
        <v>0</v>
      </c>
      <c r="N187">
        <v>0</v>
      </c>
      <c r="O187">
        <v>22.1</v>
      </c>
      <c r="P187">
        <v>2.2000000000000002</v>
      </c>
      <c r="Q187">
        <v>0</v>
      </c>
      <c r="R187">
        <v>0.4</v>
      </c>
      <c r="S187">
        <v>4.9000000000000004</v>
      </c>
      <c r="T187">
        <v>0.4</v>
      </c>
      <c r="U187">
        <v>0.22</v>
      </c>
      <c r="V187">
        <v>0.62</v>
      </c>
      <c r="W187">
        <v>10.98</v>
      </c>
      <c r="X187">
        <v>9</v>
      </c>
      <c r="Y187" t="s">
        <v>1000</v>
      </c>
      <c r="Z187">
        <v>300</v>
      </c>
      <c r="AA187">
        <v>189</v>
      </c>
      <c r="AB187">
        <v>168</v>
      </c>
      <c r="AC187">
        <v>75</v>
      </c>
      <c r="AD187">
        <v>191</v>
      </c>
      <c r="AE187">
        <v>84</v>
      </c>
      <c r="AF187">
        <v>524</v>
      </c>
      <c r="AG187">
        <v>187</v>
      </c>
      <c r="AH187">
        <f>fpl_player_statistics_cleaned[[#This Row],[Total Points]] / fpl_player_statistics_cleaned[[#This Row],[Now Cost]]</f>
        <v>4.8979591836734686</v>
      </c>
      <c r="AI187">
        <f>fpl_player_statistics_cleaned[[#This Row],[Goals Scored]] + fpl_player_statistics_cleaned[[#This Row],[Assists]]</f>
        <v>0</v>
      </c>
      <c r="AJ187">
        <f>fpl_player_statistics_cleaned[[#This Row],[Total Points]] / fpl_player_statistics_cleaned[[#This Row],[Starts]]</f>
        <v>2.6666666666666665</v>
      </c>
      <c r="AK187">
        <f>((fpl_player_statistics_cleaned[[#This Row],[Points Per Game]]) * fpl_player_statistics_cleaned[[#This Row],[Form]]) / fpl_player_statistics_cleaned[[#This Row],[Now Cost]]</f>
        <v>1.2122448979591838</v>
      </c>
      <c r="AL187">
        <f>fpl_player_statistics_cleaned[[#This Row],[Minutes]] / fpl_player_statistics_cleaned[[#This Row],[Total Points]]</f>
        <v>32.791666666666664</v>
      </c>
      <c r="AM18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29.093877551020409</v>
      </c>
    </row>
    <row r="188" spans="1:39" x14ac:dyDescent="0.2">
      <c r="A188" t="s">
        <v>224</v>
      </c>
      <c r="B188" t="s">
        <v>70</v>
      </c>
      <c r="C188" t="s">
        <v>41</v>
      </c>
      <c r="D188">
        <v>4.8</v>
      </c>
      <c r="E188">
        <v>24</v>
      </c>
      <c r="F188">
        <v>3.4</v>
      </c>
      <c r="G188">
        <v>0.7</v>
      </c>
      <c r="H188">
        <v>1</v>
      </c>
      <c r="I188">
        <v>0</v>
      </c>
      <c r="J188">
        <v>485</v>
      </c>
      <c r="K188">
        <v>3</v>
      </c>
      <c r="L188">
        <v>4</v>
      </c>
      <c r="M188">
        <v>0</v>
      </c>
      <c r="N188">
        <v>1</v>
      </c>
      <c r="O188">
        <v>20.5</v>
      </c>
      <c r="P188">
        <v>4.2</v>
      </c>
      <c r="Q188">
        <v>0</v>
      </c>
      <c r="R188">
        <v>0.9</v>
      </c>
      <c r="S188">
        <v>5</v>
      </c>
      <c r="T188">
        <v>0.26</v>
      </c>
      <c r="U188">
        <v>0.12</v>
      </c>
      <c r="V188">
        <v>0.38</v>
      </c>
      <c r="W188">
        <v>7.01</v>
      </c>
      <c r="X188">
        <v>6</v>
      </c>
      <c r="Y188" t="s">
        <v>1000</v>
      </c>
      <c r="Z188">
        <v>365</v>
      </c>
      <c r="AA188">
        <v>231</v>
      </c>
      <c r="AB188">
        <v>71</v>
      </c>
      <c r="AC188">
        <v>33</v>
      </c>
      <c r="AD188">
        <v>127</v>
      </c>
      <c r="AE188">
        <v>56</v>
      </c>
      <c r="AF188">
        <v>210</v>
      </c>
      <c r="AG188">
        <v>71</v>
      </c>
      <c r="AH188">
        <f>fpl_player_statistics_cleaned[[#This Row],[Total Points]] / fpl_player_statistics_cleaned[[#This Row],[Now Cost]]</f>
        <v>5</v>
      </c>
      <c r="AI188">
        <f>fpl_player_statistics_cleaned[[#This Row],[Goals Scored]] + fpl_player_statistics_cleaned[[#This Row],[Assists]]</f>
        <v>1</v>
      </c>
      <c r="AJ188">
        <f>fpl_player_statistics_cleaned[[#This Row],[Total Points]] / fpl_player_statistics_cleaned[[#This Row],[Starts]]</f>
        <v>4</v>
      </c>
      <c r="AK188">
        <f>((fpl_player_statistics_cleaned[[#This Row],[Points Per Game]]) * fpl_player_statistics_cleaned[[#This Row],[Form]]) / fpl_player_statistics_cleaned[[#This Row],[Now Cost]]</f>
        <v>2.9750000000000001</v>
      </c>
      <c r="AL188">
        <f>fpl_player_statistics_cleaned[[#This Row],[Minutes]] / fpl_player_statistics_cleaned[[#This Row],[Total Points]]</f>
        <v>20.208333333333332</v>
      </c>
      <c r="AM18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71.400000000000006</v>
      </c>
    </row>
    <row r="189" spans="1:39" x14ac:dyDescent="0.2">
      <c r="A189" t="s">
        <v>225</v>
      </c>
      <c r="B189" t="s">
        <v>47</v>
      </c>
      <c r="C189" t="s">
        <v>41</v>
      </c>
      <c r="D189">
        <v>6.4</v>
      </c>
      <c r="E189">
        <v>24</v>
      </c>
      <c r="F189">
        <v>4</v>
      </c>
      <c r="G189">
        <v>0.7</v>
      </c>
      <c r="H189">
        <v>1</v>
      </c>
      <c r="I189">
        <v>2</v>
      </c>
      <c r="J189">
        <v>342</v>
      </c>
      <c r="K189">
        <v>2</v>
      </c>
      <c r="L189">
        <v>3</v>
      </c>
      <c r="M189">
        <v>0</v>
      </c>
      <c r="N189">
        <v>2</v>
      </c>
      <c r="O189">
        <v>33.299999999999997</v>
      </c>
      <c r="P189">
        <v>5.2</v>
      </c>
      <c r="Q189">
        <v>1</v>
      </c>
      <c r="R189">
        <v>0.8</v>
      </c>
      <c r="S189">
        <v>3.8</v>
      </c>
      <c r="T189">
        <v>0.86</v>
      </c>
      <c r="U189">
        <v>1.7</v>
      </c>
      <c r="V189">
        <v>2.56</v>
      </c>
      <c r="W189">
        <v>4.04</v>
      </c>
      <c r="X189">
        <v>5</v>
      </c>
      <c r="Y189" t="s">
        <v>1000</v>
      </c>
      <c r="Z189">
        <v>66</v>
      </c>
      <c r="AA189">
        <v>44</v>
      </c>
      <c r="AB189">
        <v>39</v>
      </c>
      <c r="AC189">
        <v>19</v>
      </c>
      <c r="AD189">
        <v>82</v>
      </c>
      <c r="AE189">
        <v>35</v>
      </c>
      <c r="AF189">
        <v>203</v>
      </c>
      <c r="AG189">
        <v>69</v>
      </c>
      <c r="AH189">
        <f>fpl_player_statistics_cleaned[[#This Row],[Total Points]] / fpl_player_statistics_cleaned[[#This Row],[Now Cost]]</f>
        <v>3.75</v>
      </c>
      <c r="AI189">
        <f>fpl_player_statistics_cleaned[[#This Row],[Goals Scored]] + fpl_player_statistics_cleaned[[#This Row],[Assists]]</f>
        <v>3</v>
      </c>
      <c r="AJ189">
        <f>fpl_player_statistics_cleaned[[#This Row],[Total Points]] / fpl_player_statistics_cleaned[[#This Row],[Starts]]</f>
        <v>4.8</v>
      </c>
      <c r="AK189">
        <f>((fpl_player_statistics_cleaned[[#This Row],[Points Per Game]]) * fpl_player_statistics_cleaned[[#This Row],[Form]]) / fpl_player_statistics_cleaned[[#This Row],[Now Cost]]</f>
        <v>3.25</v>
      </c>
      <c r="AL189">
        <f>fpl_player_statistics_cleaned[[#This Row],[Minutes]] / fpl_player_statistics_cleaned[[#This Row],[Total Points]]</f>
        <v>14.25</v>
      </c>
      <c r="AM18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78</v>
      </c>
    </row>
    <row r="190" spans="1:39" x14ac:dyDescent="0.2">
      <c r="A190" t="s">
        <v>226</v>
      </c>
      <c r="B190" t="s">
        <v>97</v>
      </c>
      <c r="C190" t="s">
        <v>41</v>
      </c>
      <c r="D190">
        <v>5.5</v>
      </c>
      <c r="E190">
        <v>23</v>
      </c>
      <c r="F190">
        <v>2.6</v>
      </c>
      <c r="G190">
        <v>0.1</v>
      </c>
      <c r="H190">
        <v>0</v>
      </c>
      <c r="I190">
        <v>3</v>
      </c>
      <c r="J190">
        <v>639</v>
      </c>
      <c r="K190">
        <v>0</v>
      </c>
      <c r="L190">
        <v>13</v>
      </c>
      <c r="M190">
        <v>0</v>
      </c>
      <c r="N190">
        <v>0</v>
      </c>
      <c r="O190">
        <v>26.3</v>
      </c>
      <c r="P190">
        <v>2.2000000000000002</v>
      </c>
      <c r="Q190">
        <v>0</v>
      </c>
      <c r="R190">
        <v>0.4</v>
      </c>
      <c r="S190">
        <v>4.2</v>
      </c>
      <c r="T190">
        <v>0.84</v>
      </c>
      <c r="U190">
        <v>0.46</v>
      </c>
      <c r="V190">
        <v>1.3</v>
      </c>
      <c r="W190">
        <v>11.03</v>
      </c>
      <c r="X190">
        <v>8</v>
      </c>
      <c r="Y190" t="s">
        <v>1000</v>
      </c>
      <c r="Z190">
        <v>147</v>
      </c>
      <c r="AA190">
        <v>94</v>
      </c>
      <c r="AB190">
        <v>177</v>
      </c>
      <c r="AC190">
        <v>84</v>
      </c>
      <c r="AD190">
        <v>200</v>
      </c>
      <c r="AE190">
        <v>91</v>
      </c>
      <c r="AF190">
        <v>426</v>
      </c>
      <c r="AG190">
        <v>146</v>
      </c>
      <c r="AH190">
        <f>fpl_player_statistics_cleaned[[#This Row],[Total Points]] / fpl_player_statistics_cleaned[[#This Row],[Now Cost]]</f>
        <v>4.1818181818181817</v>
      </c>
      <c r="AI190">
        <f>fpl_player_statistics_cleaned[[#This Row],[Goals Scored]] + fpl_player_statistics_cleaned[[#This Row],[Assists]]</f>
        <v>3</v>
      </c>
      <c r="AJ190">
        <f>fpl_player_statistics_cleaned[[#This Row],[Total Points]] / fpl_player_statistics_cleaned[[#This Row],[Starts]]</f>
        <v>2.875</v>
      </c>
      <c r="AK190">
        <f>((fpl_player_statistics_cleaned[[#This Row],[Points Per Game]]) * fpl_player_statistics_cleaned[[#This Row],[Form]]) / fpl_player_statistics_cleaned[[#This Row],[Now Cost]]</f>
        <v>1.04</v>
      </c>
      <c r="AL190">
        <f>fpl_player_statistics_cleaned[[#This Row],[Minutes]] / fpl_player_statistics_cleaned[[#This Row],[Total Points]]</f>
        <v>27.782608695652176</v>
      </c>
      <c r="AM19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23.920000000000005</v>
      </c>
    </row>
    <row r="191" spans="1:39" x14ac:dyDescent="0.2">
      <c r="A191" t="s">
        <v>227</v>
      </c>
      <c r="B191" t="s">
        <v>70</v>
      </c>
      <c r="C191" t="s">
        <v>41</v>
      </c>
      <c r="D191">
        <v>4.9000000000000004</v>
      </c>
      <c r="E191">
        <v>23</v>
      </c>
      <c r="F191">
        <v>2.6</v>
      </c>
      <c r="G191">
        <v>0.2</v>
      </c>
      <c r="H191">
        <v>0</v>
      </c>
      <c r="I191">
        <v>2</v>
      </c>
      <c r="J191">
        <v>644</v>
      </c>
      <c r="K191">
        <v>3</v>
      </c>
      <c r="L191">
        <v>6</v>
      </c>
      <c r="M191">
        <v>0</v>
      </c>
      <c r="N191">
        <v>1</v>
      </c>
      <c r="O191">
        <v>28.9</v>
      </c>
      <c r="P191">
        <v>2</v>
      </c>
      <c r="Q191">
        <v>0</v>
      </c>
      <c r="R191">
        <v>0.4</v>
      </c>
      <c r="S191">
        <v>4.7</v>
      </c>
      <c r="T191">
        <v>0.1</v>
      </c>
      <c r="U191">
        <v>0.42</v>
      </c>
      <c r="V191">
        <v>0.51</v>
      </c>
      <c r="W191">
        <v>8.57</v>
      </c>
      <c r="X191">
        <v>8</v>
      </c>
      <c r="Y191" t="s">
        <v>1000</v>
      </c>
      <c r="Z191">
        <v>311</v>
      </c>
      <c r="AA191">
        <v>196</v>
      </c>
      <c r="AB191">
        <v>187</v>
      </c>
      <c r="AC191">
        <v>89</v>
      </c>
      <c r="AD191">
        <v>197</v>
      </c>
      <c r="AE191">
        <v>88</v>
      </c>
      <c r="AF191">
        <v>383</v>
      </c>
      <c r="AG191">
        <v>131</v>
      </c>
      <c r="AH191">
        <f>fpl_player_statistics_cleaned[[#This Row],[Total Points]] / fpl_player_statistics_cleaned[[#This Row],[Now Cost]]</f>
        <v>4.6938775510204076</v>
      </c>
      <c r="AI191">
        <f>fpl_player_statistics_cleaned[[#This Row],[Goals Scored]] + fpl_player_statistics_cleaned[[#This Row],[Assists]]</f>
        <v>2</v>
      </c>
      <c r="AJ191">
        <f>fpl_player_statistics_cleaned[[#This Row],[Total Points]] / fpl_player_statistics_cleaned[[#This Row],[Starts]]</f>
        <v>2.875</v>
      </c>
      <c r="AK191">
        <f>((fpl_player_statistics_cleaned[[#This Row],[Points Per Game]]) * fpl_player_statistics_cleaned[[#This Row],[Form]]) / fpl_player_statistics_cleaned[[#This Row],[Now Cost]]</f>
        <v>1.0612244897959184</v>
      </c>
      <c r="AL191">
        <f>fpl_player_statistics_cleaned[[#This Row],[Minutes]] / fpl_player_statistics_cleaned[[#This Row],[Total Points]]</f>
        <v>28</v>
      </c>
      <c r="AM19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24.408163265306122</v>
      </c>
    </row>
    <row r="192" spans="1:39" x14ac:dyDescent="0.2">
      <c r="A192" t="s">
        <v>228</v>
      </c>
      <c r="B192" t="s">
        <v>100</v>
      </c>
      <c r="C192" t="s">
        <v>35</v>
      </c>
      <c r="D192">
        <v>5</v>
      </c>
      <c r="E192">
        <v>23</v>
      </c>
      <c r="F192">
        <v>2.1</v>
      </c>
      <c r="G192">
        <v>0.6</v>
      </c>
      <c r="H192">
        <v>2</v>
      </c>
      <c r="I192">
        <v>0</v>
      </c>
      <c r="J192">
        <v>272</v>
      </c>
      <c r="K192">
        <v>1</v>
      </c>
      <c r="L192">
        <v>8</v>
      </c>
      <c r="M192">
        <v>0</v>
      </c>
      <c r="N192">
        <v>2</v>
      </c>
      <c r="O192">
        <v>20.100000000000001</v>
      </c>
      <c r="P192">
        <v>2.8</v>
      </c>
      <c r="Q192">
        <v>0</v>
      </c>
      <c r="R192">
        <v>0.6</v>
      </c>
      <c r="S192">
        <v>4.5999999999999996</v>
      </c>
      <c r="T192">
        <v>2.15</v>
      </c>
      <c r="U192">
        <v>0.06</v>
      </c>
      <c r="V192">
        <v>2.21</v>
      </c>
      <c r="W192">
        <v>5.03</v>
      </c>
      <c r="X192">
        <v>2</v>
      </c>
      <c r="Y192" t="s">
        <v>1000</v>
      </c>
      <c r="Z192">
        <v>247</v>
      </c>
      <c r="AA192">
        <v>49</v>
      </c>
      <c r="AB192">
        <v>141</v>
      </c>
      <c r="AC192">
        <v>13</v>
      </c>
      <c r="AD192">
        <v>265</v>
      </c>
      <c r="AE192">
        <v>27</v>
      </c>
      <c r="AF192">
        <v>218</v>
      </c>
      <c r="AG192">
        <v>35</v>
      </c>
      <c r="AH192">
        <f>fpl_player_statistics_cleaned[[#This Row],[Total Points]] / fpl_player_statistics_cleaned[[#This Row],[Now Cost]]</f>
        <v>4.5999999999999996</v>
      </c>
      <c r="AI192">
        <f>fpl_player_statistics_cleaned[[#This Row],[Goals Scored]] + fpl_player_statistics_cleaned[[#This Row],[Assists]]</f>
        <v>2</v>
      </c>
      <c r="AJ192">
        <f>fpl_player_statistics_cleaned[[#This Row],[Total Points]] / fpl_player_statistics_cleaned[[#This Row],[Starts]]</f>
        <v>11.5</v>
      </c>
      <c r="AK192">
        <f>((fpl_player_statistics_cleaned[[#This Row],[Points Per Game]]) * fpl_player_statistics_cleaned[[#This Row],[Form]]) / fpl_player_statistics_cleaned[[#This Row],[Now Cost]]</f>
        <v>1.1759999999999999</v>
      </c>
      <c r="AL192">
        <f>fpl_player_statistics_cleaned[[#This Row],[Minutes]] / fpl_player_statistics_cleaned[[#This Row],[Total Points]]</f>
        <v>11.826086956521738</v>
      </c>
      <c r="AM19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27.047999999999998</v>
      </c>
    </row>
    <row r="193" spans="1:39" x14ac:dyDescent="0.2">
      <c r="A193" t="s">
        <v>229</v>
      </c>
      <c r="B193" t="s">
        <v>51</v>
      </c>
      <c r="C193" t="s">
        <v>41</v>
      </c>
      <c r="D193">
        <v>6.3</v>
      </c>
      <c r="E193">
        <v>23</v>
      </c>
      <c r="F193">
        <v>2.9</v>
      </c>
      <c r="G193">
        <v>0.1</v>
      </c>
      <c r="H193">
        <v>2</v>
      </c>
      <c r="I193">
        <v>0</v>
      </c>
      <c r="J193">
        <v>246</v>
      </c>
      <c r="K193">
        <v>1</v>
      </c>
      <c r="L193">
        <v>3</v>
      </c>
      <c r="M193">
        <v>0</v>
      </c>
      <c r="N193">
        <v>2</v>
      </c>
      <c r="O193">
        <v>14.5</v>
      </c>
      <c r="P193">
        <v>2</v>
      </c>
      <c r="Q193">
        <v>0</v>
      </c>
      <c r="R193">
        <v>0.3</v>
      </c>
      <c r="S193">
        <v>3.7</v>
      </c>
      <c r="T193">
        <v>0.47</v>
      </c>
      <c r="U193">
        <v>0.05</v>
      </c>
      <c r="V193">
        <v>0.52</v>
      </c>
      <c r="W193">
        <v>2.23</v>
      </c>
      <c r="X193">
        <v>3</v>
      </c>
      <c r="Y193" t="s">
        <v>1000</v>
      </c>
      <c r="Z193">
        <v>77</v>
      </c>
      <c r="AA193">
        <v>52</v>
      </c>
      <c r="AB193">
        <v>197</v>
      </c>
      <c r="AC193">
        <v>97</v>
      </c>
      <c r="AD193">
        <v>175</v>
      </c>
      <c r="AE193">
        <v>79</v>
      </c>
      <c r="AF193">
        <v>437</v>
      </c>
      <c r="AG193">
        <v>150</v>
      </c>
      <c r="AH193">
        <f>fpl_player_statistics_cleaned[[#This Row],[Total Points]] / fpl_player_statistics_cleaned[[#This Row],[Now Cost]]</f>
        <v>3.6507936507936507</v>
      </c>
      <c r="AI193">
        <f>fpl_player_statistics_cleaned[[#This Row],[Goals Scored]] + fpl_player_statistics_cleaned[[#This Row],[Assists]]</f>
        <v>2</v>
      </c>
      <c r="AJ193">
        <f>fpl_player_statistics_cleaned[[#This Row],[Total Points]] / fpl_player_statistics_cleaned[[#This Row],[Starts]]</f>
        <v>7.666666666666667</v>
      </c>
      <c r="AK193">
        <f>((fpl_player_statistics_cleaned[[#This Row],[Points Per Game]]) * fpl_player_statistics_cleaned[[#This Row],[Form]]) / fpl_player_statistics_cleaned[[#This Row],[Now Cost]]</f>
        <v>0.92063492063492058</v>
      </c>
      <c r="AL193">
        <f>fpl_player_statistics_cleaned[[#This Row],[Minutes]] / fpl_player_statistics_cleaned[[#This Row],[Total Points]]</f>
        <v>10.695652173913043</v>
      </c>
      <c r="AM19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21.174603174603174</v>
      </c>
    </row>
    <row r="194" spans="1:39" x14ac:dyDescent="0.2">
      <c r="A194" t="s">
        <v>230</v>
      </c>
      <c r="B194" t="s">
        <v>122</v>
      </c>
      <c r="C194" t="s">
        <v>55</v>
      </c>
      <c r="D194">
        <v>4.8</v>
      </c>
      <c r="E194">
        <v>23</v>
      </c>
      <c r="F194">
        <v>2.1</v>
      </c>
      <c r="G194">
        <v>8.1</v>
      </c>
      <c r="H194">
        <v>0</v>
      </c>
      <c r="I194">
        <v>0</v>
      </c>
      <c r="J194">
        <v>990</v>
      </c>
      <c r="K194">
        <v>0</v>
      </c>
      <c r="L194">
        <v>20</v>
      </c>
      <c r="M194">
        <v>37</v>
      </c>
      <c r="N194">
        <v>0</v>
      </c>
      <c r="O194">
        <v>27</v>
      </c>
      <c r="P194">
        <v>2</v>
      </c>
      <c r="Q194">
        <v>0</v>
      </c>
      <c r="R194">
        <v>0.4</v>
      </c>
      <c r="S194">
        <v>4.8</v>
      </c>
      <c r="T194">
        <v>0</v>
      </c>
      <c r="U194">
        <v>0.04</v>
      </c>
      <c r="V194">
        <v>0.04</v>
      </c>
      <c r="W194">
        <v>16.25</v>
      </c>
      <c r="X194">
        <v>11</v>
      </c>
      <c r="Y194" t="s">
        <v>1000</v>
      </c>
      <c r="Z194">
        <v>349</v>
      </c>
      <c r="AA194">
        <v>13</v>
      </c>
      <c r="AB194">
        <v>185</v>
      </c>
      <c r="AC194">
        <v>17</v>
      </c>
      <c r="AD194">
        <v>259</v>
      </c>
      <c r="AE194">
        <v>24</v>
      </c>
      <c r="AF194">
        <v>47</v>
      </c>
      <c r="AG194">
        <v>8</v>
      </c>
      <c r="AH194">
        <f>fpl_player_statistics_cleaned[[#This Row],[Total Points]] / fpl_player_statistics_cleaned[[#This Row],[Now Cost]]</f>
        <v>4.791666666666667</v>
      </c>
      <c r="AI194">
        <f>fpl_player_statistics_cleaned[[#This Row],[Goals Scored]] + fpl_player_statistics_cleaned[[#This Row],[Assists]]</f>
        <v>0</v>
      </c>
      <c r="AJ194">
        <f>fpl_player_statistics_cleaned[[#This Row],[Total Points]] / fpl_player_statistics_cleaned[[#This Row],[Starts]]</f>
        <v>2.0909090909090908</v>
      </c>
      <c r="AK194">
        <f>((fpl_player_statistics_cleaned[[#This Row],[Points Per Game]]) * fpl_player_statistics_cleaned[[#This Row],[Form]]) / fpl_player_statistics_cleaned[[#This Row],[Now Cost]]</f>
        <v>0.87500000000000011</v>
      </c>
      <c r="AL194">
        <f>fpl_player_statistics_cleaned[[#This Row],[Minutes]] / fpl_player_statistics_cleaned[[#This Row],[Total Points]]</f>
        <v>43.043478260869563</v>
      </c>
      <c r="AM19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20.125000000000004</v>
      </c>
    </row>
    <row r="195" spans="1:39" x14ac:dyDescent="0.2">
      <c r="A195" t="s">
        <v>231</v>
      </c>
      <c r="B195" t="s">
        <v>37</v>
      </c>
      <c r="C195" t="s">
        <v>41</v>
      </c>
      <c r="D195">
        <v>5.9</v>
      </c>
      <c r="E195">
        <v>23</v>
      </c>
      <c r="F195">
        <v>2.2999999999999998</v>
      </c>
      <c r="G195">
        <v>1</v>
      </c>
      <c r="H195">
        <v>1</v>
      </c>
      <c r="I195">
        <v>1</v>
      </c>
      <c r="J195">
        <v>413</v>
      </c>
      <c r="K195">
        <v>2</v>
      </c>
      <c r="L195">
        <v>3</v>
      </c>
      <c r="M195">
        <v>0</v>
      </c>
      <c r="N195">
        <v>0</v>
      </c>
      <c r="O195">
        <v>25.3</v>
      </c>
      <c r="P195">
        <v>2</v>
      </c>
      <c r="Q195">
        <v>0</v>
      </c>
      <c r="R195">
        <v>0.3</v>
      </c>
      <c r="S195">
        <v>3.9</v>
      </c>
      <c r="T195">
        <v>0.72</v>
      </c>
      <c r="U195">
        <v>0.23</v>
      </c>
      <c r="V195">
        <v>0.95</v>
      </c>
      <c r="W195">
        <v>2.64</v>
      </c>
      <c r="X195">
        <v>4</v>
      </c>
      <c r="Y195" t="s">
        <v>1000</v>
      </c>
      <c r="Z195">
        <v>98</v>
      </c>
      <c r="AA195">
        <v>65</v>
      </c>
      <c r="AB195">
        <v>196</v>
      </c>
      <c r="AC195">
        <v>96</v>
      </c>
      <c r="AD195">
        <v>230</v>
      </c>
      <c r="AE195">
        <v>104</v>
      </c>
      <c r="AF195">
        <v>183</v>
      </c>
      <c r="AG195">
        <v>63</v>
      </c>
      <c r="AH195">
        <f>fpl_player_statistics_cleaned[[#This Row],[Total Points]] / fpl_player_statistics_cleaned[[#This Row],[Now Cost]]</f>
        <v>3.8983050847457625</v>
      </c>
      <c r="AI195">
        <f>fpl_player_statistics_cleaned[[#This Row],[Goals Scored]] + fpl_player_statistics_cleaned[[#This Row],[Assists]]</f>
        <v>2</v>
      </c>
      <c r="AJ195">
        <f>fpl_player_statistics_cleaned[[#This Row],[Total Points]] / fpl_player_statistics_cleaned[[#This Row],[Starts]]</f>
        <v>5.75</v>
      </c>
      <c r="AK195">
        <f>((fpl_player_statistics_cleaned[[#This Row],[Points Per Game]]) * fpl_player_statistics_cleaned[[#This Row],[Form]]) / fpl_player_statistics_cleaned[[#This Row],[Now Cost]]</f>
        <v>0.77966101694915246</v>
      </c>
      <c r="AL195">
        <f>fpl_player_statistics_cleaned[[#This Row],[Minutes]] / fpl_player_statistics_cleaned[[#This Row],[Total Points]]</f>
        <v>17.956521739130434</v>
      </c>
      <c r="AM19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17.932203389830505</v>
      </c>
    </row>
    <row r="196" spans="1:39" x14ac:dyDescent="0.2">
      <c r="A196" t="s">
        <v>232</v>
      </c>
      <c r="B196" t="s">
        <v>49</v>
      </c>
      <c r="C196" t="s">
        <v>38</v>
      </c>
      <c r="D196">
        <v>4.4000000000000004</v>
      </c>
      <c r="E196">
        <v>23</v>
      </c>
      <c r="F196">
        <v>2.1</v>
      </c>
      <c r="G196">
        <v>1.7</v>
      </c>
      <c r="H196">
        <v>0</v>
      </c>
      <c r="I196">
        <v>1</v>
      </c>
      <c r="J196">
        <v>638</v>
      </c>
      <c r="K196">
        <v>1</v>
      </c>
      <c r="L196">
        <v>14</v>
      </c>
      <c r="M196">
        <v>0</v>
      </c>
      <c r="N196">
        <v>1</v>
      </c>
      <c r="O196">
        <v>15.5</v>
      </c>
      <c r="P196">
        <v>0.8</v>
      </c>
      <c r="Q196">
        <v>0</v>
      </c>
      <c r="R196">
        <v>0.2</v>
      </c>
      <c r="S196">
        <v>5.2</v>
      </c>
      <c r="T196">
        <v>0.28999999999999998</v>
      </c>
      <c r="U196">
        <v>0.06</v>
      </c>
      <c r="V196">
        <v>0.35</v>
      </c>
      <c r="W196">
        <v>10.24</v>
      </c>
      <c r="X196">
        <v>7</v>
      </c>
      <c r="Y196" t="s">
        <v>1000</v>
      </c>
      <c r="Z196">
        <v>551</v>
      </c>
      <c r="AA196">
        <v>131</v>
      </c>
      <c r="AB196">
        <v>287</v>
      </c>
      <c r="AC196">
        <v>97</v>
      </c>
      <c r="AD196">
        <v>256</v>
      </c>
      <c r="AE196">
        <v>90</v>
      </c>
      <c r="AF196">
        <v>137</v>
      </c>
      <c r="AG196">
        <v>52</v>
      </c>
      <c r="AH196">
        <f>fpl_player_statistics_cleaned[[#This Row],[Total Points]] / fpl_player_statistics_cleaned[[#This Row],[Now Cost]]</f>
        <v>5.2272727272727266</v>
      </c>
      <c r="AI196">
        <f>fpl_player_statistics_cleaned[[#This Row],[Goals Scored]] + fpl_player_statistics_cleaned[[#This Row],[Assists]]</f>
        <v>1</v>
      </c>
      <c r="AJ196">
        <f>fpl_player_statistics_cleaned[[#This Row],[Total Points]] / fpl_player_statistics_cleaned[[#This Row],[Starts]]</f>
        <v>3.2857142857142856</v>
      </c>
      <c r="AK196">
        <f>((fpl_player_statistics_cleaned[[#This Row],[Points Per Game]]) * fpl_player_statistics_cleaned[[#This Row],[Form]]) / fpl_player_statistics_cleaned[[#This Row],[Now Cost]]</f>
        <v>0.38181818181818183</v>
      </c>
      <c r="AL196">
        <f>fpl_player_statistics_cleaned[[#This Row],[Minutes]] / fpl_player_statistics_cleaned[[#This Row],[Total Points]]</f>
        <v>27.739130434782609</v>
      </c>
      <c r="AM19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8.7818181818181813</v>
      </c>
    </row>
    <row r="197" spans="1:39" x14ac:dyDescent="0.2">
      <c r="A197" t="s">
        <v>233</v>
      </c>
      <c r="B197" t="s">
        <v>65</v>
      </c>
      <c r="C197" t="s">
        <v>41</v>
      </c>
      <c r="D197">
        <v>4.9000000000000004</v>
      </c>
      <c r="E197">
        <v>22</v>
      </c>
      <c r="F197">
        <v>2.2000000000000002</v>
      </c>
      <c r="G197">
        <v>0</v>
      </c>
      <c r="H197">
        <v>1</v>
      </c>
      <c r="I197">
        <v>1</v>
      </c>
      <c r="J197">
        <v>435</v>
      </c>
      <c r="K197">
        <v>1</v>
      </c>
      <c r="L197">
        <v>6</v>
      </c>
      <c r="M197">
        <v>0</v>
      </c>
      <c r="N197">
        <v>0</v>
      </c>
      <c r="O197">
        <v>13.8</v>
      </c>
      <c r="P197">
        <v>2.2000000000000002</v>
      </c>
      <c r="Q197">
        <v>0</v>
      </c>
      <c r="R197">
        <v>0.4</v>
      </c>
      <c r="S197">
        <v>4.5</v>
      </c>
      <c r="T197">
        <v>0.38</v>
      </c>
      <c r="U197">
        <v>0.19</v>
      </c>
      <c r="V197">
        <v>0.56999999999999995</v>
      </c>
      <c r="W197">
        <v>8.98</v>
      </c>
      <c r="X197">
        <v>5</v>
      </c>
      <c r="Y197" t="s">
        <v>1000</v>
      </c>
      <c r="Z197">
        <v>330</v>
      </c>
      <c r="AA197">
        <v>208</v>
      </c>
      <c r="AB197">
        <v>170</v>
      </c>
      <c r="AC197">
        <v>77</v>
      </c>
      <c r="AD197">
        <v>241</v>
      </c>
      <c r="AE197">
        <v>109</v>
      </c>
      <c r="AF197">
        <v>599</v>
      </c>
      <c r="AG197">
        <v>236</v>
      </c>
      <c r="AH197">
        <f>fpl_player_statistics_cleaned[[#This Row],[Total Points]] / fpl_player_statistics_cleaned[[#This Row],[Now Cost]]</f>
        <v>4.4897959183673466</v>
      </c>
      <c r="AI197">
        <f>fpl_player_statistics_cleaned[[#This Row],[Goals Scored]] + fpl_player_statistics_cleaned[[#This Row],[Assists]]</f>
        <v>2</v>
      </c>
      <c r="AJ197">
        <f>fpl_player_statistics_cleaned[[#This Row],[Total Points]] / fpl_player_statistics_cleaned[[#This Row],[Starts]]</f>
        <v>4.4000000000000004</v>
      </c>
      <c r="AK197">
        <f>((fpl_player_statistics_cleaned[[#This Row],[Points Per Game]]) * fpl_player_statistics_cleaned[[#This Row],[Form]]) / fpl_player_statistics_cleaned[[#This Row],[Now Cost]]</f>
        <v>0.9877551020408164</v>
      </c>
      <c r="AL197">
        <f>fpl_player_statistics_cleaned[[#This Row],[Minutes]] / fpl_player_statistics_cleaned[[#This Row],[Total Points]]</f>
        <v>19.772727272727273</v>
      </c>
      <c r="AM19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21.730612244897962</v>
      </c>
    </row>
    <row r="198" spans="1:39" x14ac:dyDescent="0.2">
      <c r="A198" t="s">
        <v>932</v>
      </c>
      <c r="B198" t="s">
        <v>81</v>
      </c>
      <c r="C198" t="s">
        <v>38</v>
      </c>
      <c r="D198">
        <v>4.4000000000000004</v>
      </c>
      <c r="E198">
        <v>22</v>
      </c>
      <c r="F198">
        <v>2.2000000000000002</v>
      </c>
      <c r="G198">
        <v>0.2</v>
      </c>
      <c r="H198">
        <v>0</v>
      </c>
      <c r="I198">
        <v>0</v>
      </c>
      <c r="J198">
        <v>734</v>
      </c>
      <c r="K198">
        <v>2</v>
      </c>
      <c r="L198">
        <v>11</v>
      </c>
      <c r="M198">
        <v>0</v>
      </c>
      <c r="N198">
        <v>0</v>
      </c>
      <c r="O198">
        <v>24</v>
      </c>
      <c r="P198">
        <v>3.2</v>
      </c>
      <c r="Q198">
        <v>0</v>
      </c>
      <c r="R198">
        <v>0.7</v>
      </c>
      <c r="S198">
        <v>5</v>
      </c>
      <c r="T198">
        <v>0.31</v>
      </c>
      <c r="U198">
        <v>0.67</v>
      </c>
      <c r="V198">
        <v>0.98</v>
      </c>
      <c r="W198">
        <v>9.59</v>
      </c>
      <c r="X198">
        <v>7</v>
      </c>
      <c r="Y198" t="s">
        <v>1000</v>
      </c>
      <c r="Z198">
        <v>509</v>
      </c>
      <c r="AA198">
        <v>117</v>
      </c>
      <c r="AB198">
        <v>108</v>
      </c>
      <c r="AC198">
        <v>40</v>
      </c>
      <c r="AD198">
        <v>235</v>
      </c>
      <c r="AE198">
        <v>85</v>
      </c>
      <c r="AF198">
        <v>388</v>
      </c>
      <c r="AG198">
        <v>141</v>
      </c>
      <c r="AH198">
        <f>fpl_player_statistics_cleaned[[#This Row],[Total Points]] / fpl_player_statistics_cleaned[[#This Row],[Now Cost]]</f>
        <v>5</v>
      </c>
      <c r="AI198">
        <f>fpl_player_statistics_cleaned[[#This Row],[Goals Scored]] + fpl_player_statistics_cleaned[[#This Row],[Assists]]</f>
        <v>0</v>
      </c>
      <c r="AJ198">
        <f>fpl_player_statistics_cleaned[[#This Row],[Total Points]] / fpl_player_statistics_cleaned[[#This Row],[Starts]]</f>
        <v>3.1428571428571428</v>
      </c>
      <c r="AK198">
        <f>((fpl_player_statistics_cleaned[[#This Row],[Points Per Game]]) * fpl_player_statistics_cleaned[[#This Row],[Form]]) / fpl_player_statistics_cleaned[[#This Row],[Now Cost]]</f>
        <v>1.6</v>
      </c>
      <c r="AL198">
        <f>fpl_player_statistics_cleaned[[#This Row],[Minutes]] / fpl_player_statistics_cleaned[[#This Row],[Total Points]]</f>
        <v>33.363636363636367</v>
      </c>
      <c r="AM19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35.200000000000003</v>
      </c>
    </row>
    <row r="199" spans="1:39" x14ac:dyDescent="0.2">
      <c r="A199" t="s">
        <v>234</v>
      </c>
      <c r="B199" t="s">
        <v>49</v>
      </c>
      <c r="C199" t="s">
        <v>41</v>
      </c>
      <c r="D199">
        <v>5.9</v>
      </c>
      <c r="E199">
        <v>22</v>
      </c>
      <c r="F199">
        <v>2.8</v>
      </c>
      <c r="G199">
        <v>0.3</v>
      </c>
      <c r="H199">
        <v>1</v>
      </c>
      <c r="I199">
        <v>0</v>
      </c>
      <c r="J199">
        <v>349</v>
      </c>
      <c r="K199">
        <v>3</v>
      </c>
      <c r="L199">
        <v>5</v>
      </c>
      <c r="M199">
        <v>0</v>
      </c>
      <c r="N199">
        <v>2</v>
      </c>
      <c r="O199">
        <v>22.1</v>
      </c>
      <c r="P199">
        <v>1</v>
      </c>
      <c r="Q199">
        <v>0</v>
      </c>
      <c r="R199">
        <v>0.2</v>
      </c>
      <c r="S199">
        <v>3.7</v>
      </c>
      <c r="T199">
        <v>0.5</v>
      </c>
      <c r="U199">
        <v>0.73</v>
      </c>
      <c r="V199">
        <v>1.23</v>
      </c>
      <c r="W199">
        <v>4.57</v>
      </c>
      <c r="X199">
        <v>5</v>
      </c>
      <c r="Y199" t="s">
        <v>1000</v>
      </c>
      <c r="Z199">
        <v>97</v>
      </c>
      <c r="AA199">
        <v>64</v>
      </c>
      <c r="AB199">
        <v>279</v>
      </c>
      <c r="AC199">
        <v>136</v>
      </c>
      <c r="AD199">
        <v>186</v>
      </c>
      <c r="AE199">
        <v>82</v>
      </c>
      <c r="AF199">
        <v>332</v>
      </c>
      <c r="AG199">
        <v>116</v>
      </c>
      <c r="AH199">
        <f>fpl_player_statistics_cleaned[[#This Row],[Total Points]] / fpl_player_statistics_cleaned[[#This Row],[Now Cost]]</f>
        <v>3.7288135593220337</v>
      </c>
      <c r="AI199">
        <f>fpl_player_statistics_cleaned[[#This Row],[Goals Scored]] + fpl_player_statistics_cleaned[[#This Row],[Assists]]</f>
        <v>1</v>
      </c>
      <c r="AJ199">
        <f>fpl_player_statistics_cleaned[[#This Row],[Total Points]] / fpl_player_statistics_cleaned[[#This Row],[Starts]]</f>
        <v>4.4000000000000004</v>
      </c>
      <c r="AK199">
        <f>((fpl_player_statistics_cleaned[[#This Row],[Points Per Game]]) * fpl_player_statistics_cleaned[[#This Row],[Form]]) / fpl_player_statistics_cleaned[[#This Row],[Now Cost]]</f>
        <v>0.47457627118644063</v>
      </c>
      <c r="AL199">
        <f>fpl_player_statistics_cleaned[[#This Row],[Minutes]] / fpl_player_statistics_cleaned[[#This Row],[Total Points]]</f>
        <v>15.863636363636363</v>
      </c>
      <c r="AM19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10.440677966101694</v>
      </c>
    </row>
    <row r="200" spans="1:39" hidden="1" x14ac:dyDescent="0.2">
      <c r="A200" t="s">
        <v>235</v>
      </c>
      <c r="B200" t="s">
        <v>122</v>
      </c>
      <c r="C200" t="s">
        <v>41</v>
      </c>
      <c r="D200">
        <v>5.8</v>
      </c>
      <c r="E200">
        <v>22</v>
      </c>
      <c r="F200">
        <v>2.2000000000000002</v>
      </c>
      <c r="G200">
        <v>0.7</v>
      </c>
      <c r="H200">
        <v>1</v>
      </c>
      <c r="I200">
        <v>0</v>
      </c>
      <c r="J200">
        <v>567</v>
      </c>
      <c r="K200">
        <v>0</v>
      </c>
      <c r="L200">
        <v>12</v>
      </c>
      <c r="M200">
        <v>0</v>
      </c>
      <c r="N200">
        <v>3</v>
      </c>
      <c r="O200">
        <v>42.4</v>
      </c>
      <c r="P200">
        <v>1</v>
      </c>
      <c r="Q200">
        <v>0</v>
      </c>
      <c r="R200">
        <v>0.2</v>
      </c>
      <c r="S200">
        <v>3.8</v>
      </c>
      <c r="T200">
        <v>0.6</v>
      </c>
      <c r="U200">
        <v>1.0900000000000001</v>
      </c>
      <c r="V200">
        <v>1.69</v>
      </c>
      <c r="W200">
        <v>11.02</v>
      </c>
      <c r="X200">
        <v>6</v>
      </c>
      <c r="Y200" t="s">
        <v>236</v>
      </c>
      <c r="Z200">
        <v>108</v>
      </c>
      <c r="AA200">
        <v>73</v>
      </c>
      <c r="AB200">
        <v>277</v>
      </c>
      <c r="AC200">
        <v>134</v>
      </c>
      <c r="AD200">
        <v>251</v>
      </c>
      <c r="AE200">
        <v>116</v>
      </c>
      <c r="AF200">
        <v>206</v>
      </c>
      <c r="AG200">
        <v>70</v>
      </c>
      <c r="AI200">
        <v>4.6511627906976747</v>
      </c>
    </row>
    <row r="201" spans="1:39" x14ac:dyDescent="0.2">
      <c r="A201" t="s">
        <v>237</v>
      </c>
      <c r="B201" t="s">
        <v>97</v>
      </c>
      <c r="C201" t="s">
        <v>35</v>
      </c>
      <c r="D201">
        <v>5.8</v>
      </c>
      <c r="E201">
        <v>22</v>
      </c>
      <c r="F201">
        <v>2.8</v>
      </c>
      <c r="G201">
        <v>0.4</v>
      </c>
      <c r="H201">
        <v>2</v>
      </c>
      <c r="I201">
        <v>0</v>
      </c>
      <c r="J201">
        <v>365</v>
      </c>
      <c r="K201">
        <v>1</v>
      </c>
      <c r="L201">
        <v>7</v>
      </c>
      <c r="M201">
        <v>0</v>
      </c>
      <c r="N201">
        <v>3</v>
      </c>
      <c r="O201">
        <v>28</v>
      </c>
      <c r="P201">
        <v>2.8</v>
      </c>
      <c r="Q201">
        <v>0</v>
      </c>
      <c r="R201">
        <v>0.5</v>
      </c>
      <c r="S201">
        <v>3.8</v>
      </c>
      <c r="T201">
        <v>2.13</v>
      </c>
      <c r="U201">
        <v>7.0000000000000007E-2</v>
      </c>
      <c r="V201">
        <v>2.2000000000000002</v>
      </c>
      <c r="W201">
        <v>5.2</v>
      </c>
      <c r="X201">
        <v>3</v>
      </c>
      <c r="Y201" t="s">
        <v>1000</v>
      </c>
      <c r="Z201">
        <v>104</v>
      </c>
      <c r="AA201">
        <v>28</v>
      </c>
      <c r="AB201">
        <v>144</v>
      </c>
      <c r="AC201">
        <v>14</v>
      </c>
      <c r="AD201">
        <v>184</v>
      </c>
      <c r="AE201">
        <v>17</v>
      </c>
      <c r="AF201">
        <v>267</v>
      </c>
      <c r="AG201">
        <v>40</v>
      </c>
      <c r="AH201">
        <f>fpl_player_statistics_cleaned[[#This Row],[Total Points]] / fpl_player_statistics_cleaned[[#This Row],[Now Cost]]</f>
        <v>3.7931034482758621</v>
      </c>
      <c r="AI201">
        <f>fpl_player_statistics_cleaned[[#This Row],[Goals Scored]] + fpl_player_statistics_cleaned[[#This Row],[Assists]]</f>
        <v>2</v>
      </c>
      <c r="AJ201">
        <f>fpl_player_statistics_cleaned[[#This Row],[Total Points]] / fpl_player_statistics_cleaned[[#This Row],[Starts]]</f>
        <v>7.333333333333333</v>
      </c>
      <c r="AK201">
        <f>((fpl_player_statistics_cleaned[[#This Row],[Points Per Game]]) * fpl_player_statistics_cleaned[[#This Row],[Form]]) / fpl_player_statistics_cleaned[[#This Row],[Now Cost]]</f>
        <v>1.3517241379310343</v>
      </c>
      <c r="AL201">
        <f>fpl_player_statistics_cleaned[[#This Row],[Minutes]] / fpl_player_statistics_cleaned[[#This Row],[Total Points]]</f>
        <v>16.59090909090909</v>
      </c>
      <c r="AM20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29.737931034482752</v>
      </c>
    </row>
    <row r="202" spans="1:39" x14ac:dyDescent="0.2">
      <c r="A202" t="s">
        <v>238</v>
      </c>
      <c r="B202" t="s">
        <v>49</v>
      </c>
      <c r="C202" t="s">
        <v>38</v>
      </c>
      <c r="D202">
        <v>4.4000000000000004</v>
      </c>
      <c r="E202">
        <v>22</v>
      </c>
      <c r="F202">
        <v>2.4</v>
      </c>
      <c r="G202">
        <v>1</v>
      </c>
      <c r="H202">
        <v>0</v>
      </c>
      <c r="I202">
        <v>2</v>
      </c>
      <c r="J202">
        <v>592</v>
      </c>
      <c r="K202">
        <v>1</v>
      </c>
      <c r="L202">
        <v>14</v>
      </c>
      <c r="M202">
        <v>0</v>
      </c>
      <c r="N202">
        <v>0</v>
      </c>
      <c r="O202">
        <v>25.7</v>
      </c>
      <c r="P202">
        <v>1.5</v>
      </c>
      <c r="Q202">
        <v>0</v>
      </c>
      <c r="R202">
        <v>0.3</v>
      </c>
      <c r="S202">
        <v>5</v>
      </c>
      <c r="T202">
        <v>0.09</v>
      </c>
      <c r="U202">
        <v>0.87</v>
      </c>
      <c r="V202">
        <v>0.96</v>
      </c>
      <c r="W202">
        <v>11.45</v>
      </c>
      <c r="X202">
        <v>7</v>
      </c>
      <c r="Y202" t="s">
        <v>1000</v>
      </c>
      <c r="Z202">
        <v>503</v>
      </c>
      <c r="AA202">
        <v>114</v>
      </c>
      <c r="AB202">
        <v>224</v>
      </c>
      <c r="AC202">
        <v>73</v>
      </c>
      <c r="AD202">
        <v>218</v>
      </c>
      <c r="AE202">
        <v>79</v>
      </c>
      <c r="AF202">
        <v>180</v>
      </c>
      <c r="AG202">
        <v>67</v>
      </c>
      <c r="AH202">
        <f>fpl_player_statistics_cleaned[[#This Row],[Total Points]] / fpl_player_statistics_cleaned[[#This Row],[Now Cost]]</f>
        <v>5</v>
      </c>
      <c r="AI202">
        <f>fpl_player_statistics_cleaned[[#This Row],[Goals Scored]] + fpl_player_statistics_cleaned[[#This Row],[Assists]]</f>
        <v>2</v>
      </c>
      <c r="AJ202">
        <f>fpl_player_statistics_cleaned[[#This Row],[Total Points]] / fpl_player_statistics_cleaned[[#This Row],[Starts]]</f>
        <v>3.1428571428571428</v>
      </c>
      <c r="AK202">
        <f>((fpl_player_statistics_cleaned[[#This Row],[Points Per Game]]) * fpl_player_statistics_cleaned[[#This Row],[Form]]) / fpl_player_statistics_cleaned[[#This Row],[Now Cost]]</f>
        <v>0.81818181818181801</v>
      </c>
      <c r="AL202">
        <f>fpl_player_statistics_cleaned[[#This Row],[Minutes]] / fpl_player_statistics_cleaned[[#This Row],[Total Points]]</f>
        <v>26.90909090909091</v>
      </c>
      <c r="AM20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17.999999999999996</v>
      </c>
    </row>
    <row r="203" spans="1:39" x14ac:dyDescent="0.2">
      <c r="A203" t="s">
        <v>239</v>
      </c>
      <c r="B203" t="s">
        <v>65</v>
      </c>
      <c r="C203" t="s">
        <v>41</v>
      </c>
      <c r="D203">
        <v>4.8</v>
      </c>
      <c r="E203">
        <v>21</v>
      </c>
      <c r="F203">
        <v>2.1</v>
      </c>
      <c r="G203">
        <v>0.1</v>
      </c>
      <c r="H203">
        <v>0</v>
      </c>
      <c r="I203">
        <v>2</v>
      </c>
      <c r="J203">
        <v>287</v>
      </c>
      <c r="K203">
        <v>1</v>
      </c>
      <c r="L203">
        <v>9</v>
      </c>
      <c r="M203">
        <v>0</v>
      </c>
      <c r="N203">
        <v>0</v>
      </c>
      <c r="O203">
        <v>12.2</v>
      </c>
      <c r="P203">
        <v>2.2000000000000002</v>
      </c>
      <c r="Q203">
        <v>0</v>
      </c>
      <c r="R203">
        <v>0.5</v>
      </c>
      <c r="S203">
        <v>4.4000000000000004</v>
      </c>
      <c r="T203">
        <v>0.17</v>
      </c>
      <c r="U203">
        <v>0.51</v>
      </c>
      <c r="V203">
        <v>0.68</v>
      </c>
      <c r="W203">
        <v>8.89</v>
      </c>
      <c r="X203">
        <v>3</v>
      </c>
      <c r="Y203" t="s">
        <v>1000</v>
      </c>
      <c r="Z203">
        <v>368</v>
      </c>
      <c r="AA203">
        <v>232</v>
      </c>
      <c r="AB203">
        <v>167</v>
      </c>
      <c r="AC203">
        <v>74</v>
      </c>
      <c r="AD203">
        <v>260</v>
      </c>
      <c r="AE203">
        <v>119</v>
      </c>
      <c r="AF203">
        <v>429</v>
      </c>
      <c r="AG203">
        <v>149</v>
      </c>
      <c r="AH203">
        <f>fpl_player_statistics_cleaned[[#This Row],[Total Points]] / fpl_player_statistics_cleaned[[#This Row],[Now Cost]]</f>
        <v>4.375</v>
      </c>
      <c r="AI203">
        <f>fpl_player_statistics_cleaned[[#This Row],[Goals Scored]] + fpl_player_statistics_cleaned[[#This Row],[Assists]]</f>
        <v>2</v>
      </c>
      <c r="AJ203">
        <f>fpl_player_statistics_cleaned[[#This Row],[Total Points]] / fpl_player_statistics_cleaned[[#This Row],[Starts]]</f>
        <v>7</v>
      </c>
      <c r="AK203">
        <f>((fpl_player_statistics_cleaned[[#This Row],[Points Per Game]]) * fpl_player_statistics_cleaned[[#This Row],[Form]]) / fpl_player_statistics_cleaned[[#This Row],[Now Cost]]</f>
        <v>0.96250000000000024</v>
      </c>
      <c r="AL203">
        <f>fpl_player_statistics_cleaned[[#This Row],[Minutes]] / fpl_player_statistics_cleaned[[#This Row],[Total Points]]</f>
        <v>13.666666666666666</v>
      </c>
      <c r="AM20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20.212500000000006</v>
      </c>
    </row>
    <row r="204" spans="1:39" x14ac:dyDescent="0.2">
      <c r="A204" t="s">
        <v>933</v>
      </c>
      <c r="B204" t="s">
        <v>72</v>
      </c>
      <c r="C204" t="s">
        <v>41</v>
      </c>
      <c r="D204">
        <v>5.9</v>
      </c>
      <c r="E204">
        <v>21</v>
      </c>
      <c r="F204">
        <v>2.2999999999999998</v>
      </c>
      <c r="G204">
        <v>0.3</v>
      </c>
      <c r="H204">
        <v>0</v>
      </c>
      <c r="I204">
        <v>0</v>
      </c>
      <c r="J204">
        <v>649</v>
      </c>
      <c r="K204">
        <v>3</v>
      </c>
      <c r="L204">
        <v>8</v>
      </c>
      <c r="M204">
        <v>0</v>
      </c>
      <c r="N204">
        <v>0</v>
      </c>
      <c r="O204">
        <v>26.4</v>
      </c>
      <c r="P204">
        <v>2</v>
      </c>
      <c r="Q204">
        <v>0</v>
      </c>
      <c r="R204">
        <v>0.3</v>
      </c>
      <c r="S204">
        <v>3.6</v>
      </c>
      <c r="T204">
        <v>0.65</v>
      </c>
      <c r="U204">
        <v>0.42</v>
      </c>
      <c r="V204">
        <v>1.07</v>
      </c>
      <c r="W204">
        <v>7.03</v>
      </c>
      <c r="X204">
        <v>9</v>
      </c>
      <c r="Y204" t="s">
        <v>1000</v>
      </c>
      <c r="Z204">
        <v>96</v>
      </c>
      <c r="AA204">
        <v>63</v>
      </c>
      <c r="AB204">
        <v>195</v>
      </c>
      <c r="AC204">
        <v>95</v>
      </c>
      <c r="AD204">
        <v>229</v>
      </c>
      <c r="AE204">
        <v>103</v>
      </c>
      <c r="AF204">
        <v>306</v>
      </c>
      <c r="AG204">
        <v>105</v>
      </c>
      <c r="AH204">
        <f>fpl_player_statistics_cleaned[[#This Row],[Total Points]] / fpl_player_statistics_cleaned[[#This Row],[Now Cost]]</f>
        <v>3.5593220338983049</v>
      </c>
      <c r="AI204">
        <f>fpl_player_statistics_cleaned[[#This Row],[Goals Scored]] + fpl_player_statistics_cleaned[[#This Row],[Assists]]</f>
        <v>0</v>
      </c>
      <c r="AJ204">
        <f>fpl_player_statistics_cleaned[[#This Row],[Total Points]] / fpl_player_statistics_cleaned[[#This Row],[Starts]]</f>
        <v>2.3333333333333335</v>
      </c>
      <c r="AK204">
        <f>((fpl_player_statistics_cleaned[[#This Row],[Points Per Game]]) * fpl_player_statistics_cleaned[[#This Row],[Form]]) / fpl_player_statistics_cleaned[[#This Row],[Now Cost]]</f>
        <v>0.77966101694915246</v>
      </c>
      <c r="AL204">
        <f>fpl_player_statistics_cleaned[[#This Row],[Minutes]] / fpl_player_statistics_cleaned[[#This Row],[Total Points]]</f>
        <v>30.904761904761905</v>
      </c>
      <c r="AM20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16.372881355932201</v>
      </c>
    </row>
    <row r="205" spans="1:39" x14ac:dyDescent="0.2">
      <c r="A205" t="s">
        <v>240</v>
      </c>
      <c r="B205" t="s">
        <v>63</v>
      </c>
      <c r="C205" t="s">
        <v>38</v>
      </c>
      <c r="D205">
        <v>5.7</v>
      </c>
      <c r="E205">
        <v>21</v>
      </c>
      <c r="F205">
        <v>2.1</v>
      </c>
      <c r="G205">
        <v>3.3</v>
      </c>
      <c r="H205">
        <v>1</v>
      </c>
      <c r="I205">
        <v>0</v>
      </c>
      <c r="J205">
        <v>694</v>
      </c>
      <c r="K205">
        <v>1</v>
      </c>
      <c r="L205">
        <v>12</v>
      </c>
      <c r="M205">
        <v>0</v>
      </c>
      <c r="N205">
        <v>0</v>
      </c>
      <c r="O205">
        <v>29.6</v>
      </c>
      <c r="P205">
        <v>2</v>
      </c>
      <c r="Q205">
        <v>0</v>
      </c>
      <c r="R205">
        <v>0.4</v>
      </c>
      <c r="S205">
        <v>3.7</v>
      </c>
      <c r="T205">
        <v>0.71</v>
      </c>
      <c r="U205">
        <v>0.18</v>
      </c>
      <c r="V205">
        <v>0.89</v>
      </c>
      <c r="W205">
        <v>10.09</v>
      </c>
      <c r="X205">
        <v>9</v>
      </c>
      <c r="Y205" t="s">
        <v>1000</v>
      </c>
      <c r="Z205">
        <v>125</v>
      </c>
      <c r="AA205">
        <v>12</v>
      </c>
      <c r="AB205">
        <v>193</v>
      </c>
      <c r="AC205">
        <v>64</v>
      </c>
      <c r="AD205">
        <v>266</v>
      </c>
      <c r="AE205">
        <v>93</v>
      </c>
      <c r="AF205">
        <v>94</v>
      </c>
      <c r="AG205">
        <v>33</v>
      </c>
      <c r="AH205">
        <f>fpl_player_statistics_cleaned[[#This Row],[Total Points]] / fpl_player_statistics_cleaned[[#This Row],[Now Cost]]</f>
        <v>3.6842105263157894</v>
      </c>
      <c r="AI205">
        <f>fpl_player_statistics_cleaned[[#This Row],[Goals Scored]] + fpl_player_statistics_cleaned[[#This Row],[Assists]]</f>
        <v>1</v>
      </c>
      <c r="AJ205">
        <f>fpl_player_statistics_cleaned[[#This Row],[Total Points]] / fpl_player_statistics_cleaned[[#This Row],[Starts]]</f>
        <v>2.3333333333333335</v>
      </c>
      <c r="AK205">
        <f>((fpl_player_statistics_cleaned[[#This Row],[Points Per Game]]) * fpl_player_statistics_cleaned[[#This Row],[Form]]) / fpl_player_statistics_cleaned[[#This Row],[Now Cost]]</f>
        <v>0.73684210526315785</v>
      </c>
      <c r="AL205">
        <f>fpl_player_statistics_cleaned[[#This Row],[Minutes]] / fpl_player_statistics_cleaned[[#This Row],[Total Points]]</f>
        <v>33.047619047619051</v>
      </c>
      <c r="AM20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15.473684210526317</v>
      </c>
    </row>
    <row r="206" spans="1:39" x14ac:dyDescent="0.2">
      <c r="A206" t="s">
        <v>934</v>
      </c>
      <c r="B206" t="s">
        <v>153</v>
      </c>
      <c r="C206" t="s">
        <v>35</v>
      </c>
      <c r="D206">
        <v>6.3</v>
      </c>
      <c r="E206">
        <v>21</v>
      </c>
      <c r="F206">
        <v>2.2999999999999998</v>
      </c>
      <c r="G206">
        <v>1.2</v>
      </c>
      <c r="H206">
        <v>1</v>
      </c>
      <c r="I206">
        <v>0</v>
      </c>
      <c r="J206">
        <v>707</v>
      </c>
      <c r="K206">
        <v>2</v>
      </c>
      <c r="L206">
        <v>16</v>
      </c>
      <c r="M206">
        <v>0</v>
      </c>
      <c r="N206">
        <v>0</v>
      </c>
      <c r="O206">
        <v>28.3</v>
      </c>
      <c r="P206">
        <v>3</v>
      </c>
      <c r="Q206">
        <v>0</v>
      </c>
      <c r="R206">
        <v>0.5</v>
      </c>
      <c r="S206">
        <v>3.3</v>
      </c>
      <c r="T206">
        <v>1.59</v>
      </c>
      <c r="U206">
        <v>0.39</v>
      </c>
      <c r="V206">
        <v>1.98</v>
      </c>
      <c r="W206">
        <v>11.34</v>
      </c>
      <c r="X206">
        <v>8</v>
      </c>
      <c r="Y206" t="s">
        <v>1000</v>
      </c>
      <c r="Z206">
        <v>72</v>
      </c>
      <c r="AA206">
        <v>22</v>
      </c>
      <c r="AB206">
        <v>133</v>
      </c>
      <c r="AC206">
        <v>11</v>
      </c>
      <c r="AD206">
        <v>232</v>
      </c>
      <c r="AE206">
        <v>25</v>
      </c>
      <c r="AF206">
        <v>165</v>
      </c>
      <c r="AG206">
        <v>24</v>
      </c>
      <c r="AH206">
        <f>fpl_player_statistics_cleaned[[#This Row],[Total Points]] / fpl_player_statistics_cleaned[[#This Row],[Now Cost]]</f>
        <v>3.3333333333333335</v>
      </c>
      <c r="AI206">
        <f>fpl_player_statistics_cleaned[[#This Row],[Goals Scored]] + fpl_player_statistics_cleaned[[#This Row],[Assists]]</f>
        <v>1</v>
      </c>
      <c r="AJ206">
        <f>fpl_player_statistics_cleaned[[#This Row],[Total Points]] / fpl_player_statistics_cleaned[[#This Row],[Starts]]</f>
        <v>2.625</v>
      </c>
      <c r="AK206">
        <f>((fpl_player_statistics_cleaned[[#This Row],[Points Per Game]]) * fpl_player_statistics_cleaned[[#This Row],[Form]]) / fpl_player_statistics_cleaned[[#This Row],[Now Cost]]</f>
        <v>1.0952380952380951</v>
      </c>
      <c r="AL206">
        <f>fpl_player_statistics_cleaned[[#This Row],[Minutes]] / fpl_player_statistics_cleaned[[#This Row],[Total Points]]</f>
        <v>33.666666666666664</v>
      </c>
      <c r="AM20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23</v>
      </c>
    </row>
    <row r="207" spans="1:39" x14ac:dyDescent="0.2">
      <c r="A207" t="s">
        <v>241</v>
      </c>
      <c r="B207" t="s">
        <v>40</v>
      </c>
      <c r="C207" t="s">
        <v>41</v>
      </c>
      <c r="D207">
        <v>5</v>
      </c>
      <c r="E207">
        <v>21</v>
      </c>
      <c r="F207">
        <v>2.1</v>
      </c>
      <c r="G207">
        <v>0.2</v>
      </c>
      <c r="H207">
        <v>0</v>
      </c>
      <c r="I207">
        <v>1</v>
      </c>
      <c r="J207">
        <v>549</v>
      </c>
      <c r="K207">
        <v>3</v>
      </c>
      <c r="L207">
        <v>8</v>
      </c>
      <c r="M207">
        <v>0</v>
      </c>
      <c r="N207">
        <v>1</v>
      </c>
      <c r="O207">
        <v>33.4</v>
      </c>
      <c r="P207">
        <v>0.8</v>
      </c>
      <c r="Q207">
        <v>0</v>
      </c>
      <c r="R207">
        <v>0.2</v>
      </c>
      <c r="S207">
        <v>4.2</v>
      </c>
      <c r="T207">
        <v>1.06</v>
      </c>
      <c r="U207">
        <v>1.47</v>
      </c>
      <c r="V207">
        <v>2.5299999999999998</v>
      </c>
      <c r="W207">
        <v>6.86</v>
      </c>
      <c r="X207">
        <v>7</v>
      </c>
      <c r="Y207" t="s">
        <v>1000</v>
      </c>
      <c r="Z207">
        <v>243</v>
      </c>
      <c r="AA207">
        <v>151</v>
      </c>
      <c r="AB207">
        <v>292</v>
      </c>
      <c r="AC207">
        <v>141</v>
      </c>
      <c r="AD207">
        <v>264</v>
      </c>
      <c r="AE207">
        <v>122</v>
      </c>
      <c r="AF207">
        <v>355</v>
      </c>
      <c r="AG207">
        <v>121</v>
      </c>
      <c r="AH207">
        <f>fpl_player_statistics_cleaned[[#This Row],[Total Points]] / fpl_player_statistics_cleaned[[#This Row],[Now Cost]]</f>
        <v>4.2</v>
      </c>
      <c r="AI207">
        <f>fpl_player_statistics_cleaned[[#This Row],[Goals Scored]] + fpl_player_statistics_cleaned[[#This Row],[Assists]]</f>
        <v>1</v>
      </c>
      <c r="AJ207">
        <f>fpl_player_statistics_cleaned[[#This Row],[Total Points]] / fpl_player_statistics_cleaned[[#This Row],[Starts]]</f>
        <v>3</v>
      </c>
      <c r="AK207">
        <f>((fpl_player_statistics_cleaned[[#This Row],[Points Per Game]]) * fpl_player_statistics_cleaned[[#This Row],[Form]]) / fpl_player_statistics_cleaned[[#This Row],[Now Cost]]</f>
        <v>0.33600000000000002</v>
      </c>
      <c r="AL207">
        <f>fpl_player_statistics_cleaned[[#This Row],[Minutes]] / fpl_player_statistics_cleaned[[#This Row],[Total Points]]</f>
        <v>26.142857142857142</v>
      </c>
      <c r="AM20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7.0560000000000009</v>
      </c>
    </row>
    <row r="208" spans="1:39" x14ac:dyDescent="0.2">
      <c r="A208" t="s">
        <v>242</v>
      </c>
      <c r="B208" t="s">
        <v>46</v>
      </c>
      <c r="C208" t="s">
        <v>41</v>
      </c>
      <c r="D208">
        <v>4.9000000000000004</v>
      </c>
      <c r="E208">
        <v>21</v>
      </c>
      <c r="F208">
        <v>2.2999999999999998</v>
      </c>
      <c r="G208">
        <v>0.1</v>
      </c>
      <c r="H208">
        <v>2</v>
      </c>
      <c r="I208">
        <v>0</v>
      </c>
      <c r="J208">
        <v>214</v>
      </c>
      <c r="K208">
        <v>0</v>
      </c>
      <c r="L208">
        <v>5</v>
      </c>
      <c r="M208">
        <v>0</v>
      </c>
      <c r="N208">
        <v>0</v>
      </c>
      <c r="O208">
        <v>20</v>
      </c>
      <c r="P208">
        <v>2.2000000000000002</v>
      </c>
      <c r="Q208">
        <v>0</v>
      </c>
      <c r="R208">
        <v>0.4</v>
      </c>
      <c r="S208">
        <v>4.3</v>
      </c>
      <c r="T208">
        <v>0.55000000000000004</v>
      </c>
      <c r="U208">
        <v>0.25</v>
      </c>
      <c r="V208">
        <v>0.8</v>
      </c>
      <c r="W208">
        <v>3.64</v>
      </c>
      <c r="X208">
        <v>2</v>
      </c>
      <c r="Y208" t="s">
        <v>1000</v>
      </c>
      <c r="Z208">
        <v>305</v>
      </c>
      <c r="AA208">
        <v>192</v>
      </c>
      <c r="AB208">
        <v>169</v>
      </c>
      <c r="AC208">
        <v>76</v>
      </c>
      <c r="AD208">
        <v>225</v>
      </c>
      <c r="AE208">
        <v>101</v>
      </c>
      <c r="AF208">
        <v>491</v>
      </c>
      <c r="AG208">
        <v>172</v>
      </c>
      <c r="AH208">
        <f>fpl_player_statistics_cleaned[[#This Row],[Total Points]] / fpl_player_statistics_cleaned[[#This Row],[Now Cost]]</f>
        <v>4.2857142857142856</v>
      </c>
      <c r="AI208">
        <f>fpl_player_statistics_cleaned[[#This Row],[Goals Scored]] + fpl_player_statistics_cleaned[[#This Row],[Assists]]</f>
        <v>2</v>
      </c>
      <c r="AJ208">
        <f>fpl_player_statistics_cleaned[[#This Row],[Total Points]] / fpl_player_statistics_cleaned[[#This Row],[Starts]]</f>
        <v>10.5</v>
      </c>
      <c r="AK208">
        <f>((fpl_player_statistics_cleaned[[#This Row],[Points Per Game]]) * fpl_player_statistics_cleaned[[#This Row],[Form]]) / fpl_player_statistics_cleaned[[#This Row],[Now Cost]]</f>
        <v>1.0326530612244897</v>
      </c>
      <c r="AL208">
        <f>fpl_player_statistics_cleaned[[#This Row],[Minutes]] / fpl_player_statistics_cleaned[[#This Row],[Total Points]]</f>
        <v>10.19047619047619</v>
      </c>
      <c r="AM20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21.685714285714283</v>
      </c>
    </row>
    <row r="209" spans="1:39" x14ac:dyDescent="0.2">
      <c r="A209" t="s">
        <v>243</v>
      </c>
      <c r="B209" t="s">
        <v>43</v>
      </c>
      <c r="C209" t="s">
        <v>41</v>
      </c>
      <c r="D209">
        <v>4.9000000000000004</v>
      </c>
      <c r="E209">
        <v>21</v>
      </c>
      <c r="F209">
        <v>2.1</v>
      </c>
      <c r="G209">
        <v>0.1</v>
      </c>
      <c r="H209">
        <v>0</v>
      </c>
      <c r="I209">
        <v>2</v>
      </c>
      <c r="J209">
        <v>360</v>
      </c>
      <c r="K209">
        <v>3</v>
      </c>
      <c r="L209">
        <v>2</v>
      </c>
      <c r="M209">
        <v>0</v>
      </c>
      <c r="N209">
        <v>1</v>
      </c>
      <c r="O209">
        <v>17.899999999999999</v>
      </c>
      <c r="P209">
        <v>3.2</v>
      </c>
      <c r="Q209">
        <v>0</v>
      </c>
      <c r="R209">
        <v>0.7</v>
      </c>
      <c r="S209">
        <v>4.3</v>
      </c>
      <c r="T209">
        <v>0.56999999999999995</v>
      </c>
      <c r="U209">
        <v>0.14000000000000001</v>
      </c>
      <c r="V209">
        <v>0.71</v>
      </c>
      <c r="W209">
        <v>3.88</v>
      </c>
      <c r="X209">
        <v>3</v>
      </c>
      <c r="Y209" t="s">
        <v>1000</v>
      </c>
      <c r="Z209">
        <v>292</v>
      </c>
      <c r="AA209">
        <v>183</v>
      </c>
      <c r="AB209">
        <v>112</v>
      </c>
      <c r="AC209">
        <v>51</v>
      </c>
      <c r="AD209">
        <v>261</v>
      </c>
      <c r="AE209">
        <v>120</v>
      </c>
      <c r="AF209">
        <v>527</v>
      </c>
      <c r="AG209">
        <v>189</v>
      </c>
      <c r="AH209">
        <f>fpl_player_statistics_cleaned[[#This Row],[Total Points]] / fpl_player_statistics_cleaned[[#This Row],[Now Cost]]</f>
        <v>4.2857142857142856</v>
      </c>
      <c r="AI209">
        <f>fpl_player_statistics_cleaned[[#This Row],[Goals Scored]] + fpl_player_statistics_cleaned[[#This Row],[Assists]]</f>
        <v>2</v>
      </c>
      <c r="AJ209">
        <f>fpl_player_statistics_cleaned[[#This Row],[Total Points]] / fpl_player_statistics_cleaned[[#This Row],[Starts]]</f>
        <v>7</v>
      </c>
      <c r="AK209">
        <f>((fpl_player_statistics_cleaned[[#This Row],[Points Per Game]]) * fpl_player_statistics_cleaned[[#This Row],[Form]]) / fpl_player_statistics_cleaned[[#This Row],[Now Cost]]</f>
        <v>1.3714285714285714</v>
      </c>
      <c r="AL209">
        <f>fpl_player_statistics_cleaned[[#This Row],[Minutes]] / fpl_player_statistics_cleaned[[#This Row],[Total Points]]</f>
        <v>17.142857142857142</v>
      </c>
      <c r="AM20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28.8</v>
      </c>
    </row>
    <row r="210" spans="1:39" x14ac:dyDescent="0.2">
      <c r="A210" t="s">
        <v>244</v>
      </c>
      <c r="B210" t="s">
        <v>97</v>
      </c>
      <c r="C210" t="s">
        <v>38</v>
      </c>
      <c r="D210">
        <v>4.3</v>
      </c>
      <c r="E210">
        <v>21</v>
      </c>
      <c r="F210">
        <v>2.1</v>
      </c>
      <c r="G210">
        <v>0.3</v>
      </c>
      <c r="H210">
        <v>1</v>
      </c>
      <c r="I210">
        <v>0</v>
      </c>
      <c r="J210">
        <v>465</v>
      </c>
      <c r="K210">
        <v>1</v>
      </c>
      <c r="L210">
        <v>8</v>
      </c>
      <c r="M210">
        <v>0</v>
      </c>
      <c r="N210">
        <v>0</v>
      </c>
      <c r="O210">
        <v>22.1</v>
      </c>
      <c r="P210">
        <v>2.5</v>
      </c>
      <c r="Q210">
        <v>0</v>
      </c>
      <c r="R210">
        <v>0.6</v>
      </c>
      <c r="S210">
        <v>4.9000000000000004</v>
      </c>
      <c r="T210">
        <v>1.1000000000000001</v>
      </c>
      <c r="U210">
        <v>7.0000000000000007E-2</v>
      </c>
      <c r="V210">
        <v>1.17</v>
      </c>
      <c r="W210">
        <v>7.62</v>
      </c>
      <c r="X210">
        <v>5</v>
      </c>
      <c r="Y210" t="s">
        <v>1000</v>
      </c>
      <c r="Z210">
        <v>580</v>
      </c>
      <c r="AA210">
        <v>139</v>
      </c>
      <c r="AB210">
        <v>148</v>
      </c>
      <c r="AC210">
        <v>54</v>
      </c>
      <c r="AD210">
        <v>255</v>
      </c>
      <c r="AE210">
        <v>89</v>
      </c>
      <c r="AF210">
        <v>317</v>
      </c>
      <c r="AG210">
        <v>112</v>
      </c>
      <c r="AH210">
        <f>fpl_player_statistics_cleaned[[#This Row],[Total Points]] / fpl_player_statistics_cleaned[[#This Row],[Now Cost]]</f>
        <v>4.8837209302325579</v>
      </c>
      <c r="AI210">
        <f>fpl_player_statistics_cleaned[[#This Row],[Goals Scored]] + fpl_player_statistics_cleaned[[#This Row],[Assists]]</f>
        <v>1</v>
      </c>
      <c r="AJ210">
        <f>fpl_player_statistics_cleaned[[#This Row],[Total Points]] / fpl_player_statistics_cleaned[[#This Row],[Starts]]</f>
        <v>4.2</v>
      </c>
      <c r="AK210">
        <f>((fpl_player_statistics_cleaned[[#This Row],[Points Per Game]]) * fpl_player_statistics_cleaned[[#This Row],[Form]]) / fpl_player_statistics_cleaned[[#This Row],[Now Cost]]</f>
        <v>1.2209302325581395</v>
      </c>
      <c r="AL210">
        <f>fpl_player_statistics_cleaned[[#This Row],[Minutes]] / fpl_player_statistics_cleaned[[#This Row],[Total Points]]</f>
        <v>22.142857142857142</v>
      </c>
      <c r="AM21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25.63953488372093</v>
      </c>
    </row>
    <row r="211" spans="1:39" x14ac:dyDescent="0.2">
      <c r="A211" t="s">
        <v>245</v>
      </c>
      <c r="B211" t="s">
        <v>57</v>
      </c>
      <c r="C211" t="s">
        <v>35</v>
      </c>
      <c r="D211">
        <v>5.2</v>
      </c>
      <c r="E211">
        <v>21</v>
      </c>
      <c r="F211">
        <v>1.9</v>
      </c>
      <c r="G211">
        <v>3.2</v>
      </c>
      <c r="H211">
        <v>1</v>
      </c>
      <c r="I211">
        <v>0</v>
      </c>
      <c r="J211">
        <v>606</v>
      </c>
      <c r="K211">
        <v>1</v>
      </c>
      <c r="L211">
        <v>9</v>
      </c>
      <c r="M211">
        <v>0</v>
      </c>
      <c r="N211">
        <v>1</v>
      </c>
      <c r="O211">
        <v>33.299999999999997</v>
      </c>
      <c r="P211">
        <v>1.5</v>
      </c>
      <c r="Q211">
        <v>0</v>
      </c>
      <c r="R211">
        <v>0.3</v>
      </c>
      <c r="S211">
        <v>4</v>
      </c>
      <c r="T211">
        <v>3.86</v>
      </c>
      <c r="U211">
        <v>0.12</v>
      </c>
      <c r="V211">
        <v>3.98</v>
      </c>
      <c r="W211">
        <v>10.49</v>
      </c>
      <c r="X211">
        <v>7</v>
      </c>
      <c r="Y211" t="s">
        <v>1000</v>
      </c>
      <c r="Z211">
        <v>222</v>
      </c>
      <c r="AA211">
        <v>48</v>
      </c>
      <c r="AB211">
        <v>227</v>
      </c>
      <c r="AC211">
        <v>24</v>
      </c>
      <c r="AD211">
        <v>290</v>
      </c>
      <c r="AE211">
        <v>29</v>
      </c>
      <c r="AF211">
        <v>97</v>
      </c>
      <c r="AG211">
        <v>18</v>
      </c>
      <c r="AH211">
        <f>fpl_player_statistics_cleaned[[#This Row],[Total Points]] / fpl_player_statistics_cleaned[[#This Row],[Now Cost]]</f>
        <v>4.0384615384615383</v>
      </c>
      <c r="AI211">
        <f>fpl_player_statistics_cleaned[[#This Row],[Goals Scored]] + fpl_player_statistics_cleaned[[#This Row],[Assists]]</f>
        <v>1</v>
      </c>
      <c r="AJ211">
        <f>fpl_player_statistics_cleaned[[#This Row],[Total Points]] / fpl_player_statistics_cleaned[[#This Row],[Starts]]</f>
        <v>3</v>
      </c>
      <c r="AK211">
        <f>((fpl_player_statistics_cleaned[[#This Row],[Points Per Game]]) * fpl_player_statistics_cleaned[[#This Row],[Form]]) / fpl_player_statistics_cleaned[[#This Row],[Now Cost]]</f>
        <v>0.54807692307692302</v>
      </c>
      <c r="AL211">
        <f>fpl_player_statistics_cleaned[[#This Row],[Minutes]] / fpl_player_statistics_cleaned[[#This Row],[Total Points]]</f>
        <v>28.857142857142858</v>
      </c>
      <c r="AM21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11.509615384615383</v>
      </c>
    </row>
    <row r="212" spans="1:39" x14ac:dyDescent="0.2">
      <c r="A212" t="s">
        <v>246</v>
      </c>
      <c r="B212" t="s">
        <v>153</v>
      </c>
      <c r="C212" t="s">
        <v>38</v>
      </c>
      <c r="D212">
        <v>4.4000000000000004</v>
      </c>
      <c r="E212">
        <v>21</v>
      </c>
      <c r="F212">
        <v>1.9</v>
      </c>
      <c r="G212">
        <v>0.1</v>
      </c>
      <c r="H212">
        <v>0</v>
      </c>
      <c r="I212">
        <v>0</v>
      </c>
      <c r="J212">
        <v>792</v>
      </c>
      <c r="K212">
        <v>1</v>
      </c>
      <c r="L212">
        <v>16</v>
      </c>
      <c r="M212">
        <v>0</v>
      </c>
      <c r="N212">
        <v>2</v>
      </c>
      <c r="O212">
        <v>51.3</v>
      </c>
      <c r="P212">
        <v>1</v>
      </c>
      <c r="Q212">
        <v>0</v>
      </c>
      <c r="R212">
        <v>0.2</v>
      </c>
      <c r="S212">
        <v>4.8</v>
      </c>
      <c r="T212">
        <v>0.2</v>
      </c>
      <c r="U212">
        <v>1.17</v>
      </c>
      <c r="V212">
        <v>1.37</v>
      </c>
      <c r="W212">
        <v>12.49</v>
      </c>
      <c r="X212">
        <v>8</v>
      </c>
      <c r="Y212" t="s">
        <v>1000</v>
      </c>
      <c r="Z212">
        <v>529</v>
      </c>
      <c r="AA212">
        <v>128</v>
      </c>
      <c r="AB212">
        <v>265</v>
      </c>
      <c r="AC212">
        <v>90</v>
      </c>
      <c r="AD212">
        <v>288</v>
      </c>
      <c r="AE212">
        <v>103</v>
      </c>
      <c r="AF212">
        <v>479</v>
      </c>
      <c r="AG212">
        <v>174</v>
      </c>
      <c r="AH212">
        <f>fpl_player_statistics_cleaned[[#This Row],[Total Points]] / fpl_player_statistics_cleaned[[#This Row],[Now Cost]]</f>
        <v>4.7727272727272725</v>
      </c>
      <c r="AI212">
        <f>fpl_player_statistics_cleaned[[#This Row],[Goals Scored]] + fpl_player_statistics_cleaned[[#This Row],[Assists]]</f>
        <v>0</v>
      </c>
      <c r="AJ212">
        <f>fpl_player_statistics_cleaned[[#This Row],[Total Points]] / fpl_player_statistics_cleaned[[#This Row],[Starts]]</f>
        <v>2.625</v>
      </c>
      <c r="AK212">
        <f>((fpl_player_statistics_cleaned[[#This Row],[Points Per Game]]) * fpl_player_statistics_cleaned[[#This Row],[Form]]) / fpl_player_statistics_cleaned[[#This Row],[Now Cost]]</f>
        <v>0.43181818181818177</v>
      </c>
      <c r="AL212">
        <f>fpl_player_statistics_cleaned[[#This Row],[Minutes]] / fpl_player_statistics_cleaned[[#This Row],[Total Points]]</f>
        <v>37.714285714285715</v>
      </c>
      <c r="AM21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9.0681818181818166</v>
      </c>
    </row>
    <row r="213" spans="1:39" x14ac:dyDescent="0.2">
      <c r="A213" t="s">
        <v>247</v>
      </c>
      <c r="B213" t="s">
        <v>46</v>
      </c>
      <c r="C213" t="s">
        <v>38</v>
      </c>
      <c r="D213">
        <v>4.9000000000000004</v>
      </c>
      <c r="E213">
        <v>21</v>
      </c>
      <c r="F213">
        <v>2.2999999999999998</v>
      </c>
      <c r="G213">
        <v>0.3</v>
      </c>
      <c r="H213">
        <v>0</v>
      </c>
      <c r="I213">
        <v>1</v>
      </c>
      <c r="J213">
        <v>446</v>
      </c>
      <c r="K213">
        <v>2</v>
      </c>
      <c r="L213">
        <v>9</v>
      </c>
      <c r="M213">
        <v>0</v>
      </c>
      <c r="N213">
        <v>0</v>
      </c>
      <c r="O213">
        <v>16.2</v>
      </c>
      <c r="P213">
        <v>1.2</v>
      </c>
      <c r="Q213">
        <v>0</v>
      </c>
      <c r="R213">
        <v>0.2</v>
      </c>
      <c r="S213">
        <v>4.3</v>
      </c>
      <c r="T213">
        <v>0.16</v>
      </c>
      <c r="U213">
        <v>0.37</v>
      </c>
      <c r="V213">
        <v>0.53</v>
      </c>
      <c r="W213">
        <v>7.37</v>
      </c>
      <c r="X213">
        <v>5</v>
      </c>
      <c r="Y213" t="s">
        <v>1000</v>
      </c>
      <c r="Z213">
        <v>315</v>
      </c>
      <c r="AA213">
        <v>51</v>
      </c>
      <c r="AB213">
        <v>249</v>
      </c>
      <c r="AC213">
        <v>84</v>
      </c>
      <c r="AD213">
        <v>226</v>
      </c>
      <c r="AE213">
        <v>82</v>
      </c>
      <c r="AF213">
        <v>305</v>
      </c>
      <c r="AG213">
        <v>109</v>
      </c>
      <c r="AH213">
        <f>fpl_player_statistics_cleaned[[#This Row],[Total Points]] / fpl_player_statistics_cleaned[[#This Row],[Now Cost]]</f>
        <v>4.2857142857142856</v>
      </c>
      <c r="AI213">
        <f>fpl_player_statistics_cleaned[[#This Row],[Goals Scored]] + fpl_player_statistics_cleaned[[#This Row],[Assists]]</f>
        <v>1</v>
      </c>
      <c r="AJ213">
        <f>fpl_player_statistics_cleaned[[#This Row],[Total Points]] / fpl_player_statistics_cleaned[[#This Row],[Starts]]</f>
        <v>4.2</v>
      </c>
      <c r="AK213">
        <f>((fpl_player_statistics_cleaned[[#This Row],[Points Per Game]]) * fpl_player_statistics_cleaned[[#This Row],[Form]]) / fpl_player_statistics_cleaned[[#This Row],[Now Cost]]</f>
        <v>0.56326530612244885</v>
      </c>
      <c r="AL213">
        <f>fpl_player_statistics_cleaned[[#This Row],[Minutes]] / fpl_player_statistics_cleaned[[#This Row],[Total Points]]</f>
        <v>21.238095238095237</v>
      </c>
      <c r="AM21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11.828571428571426</v>
      </c>
    </row>
    <row r="214" spans="1:39" x14ac:dyDescent="0.2">
      <c r="A214" t="s">
        <v>248</v>
      </c>
      <c r="B214" t="s">
        <v>65</v>
      </c>
      <c r="C214" t="s">
        <v>38</v>
      </c>
      <c r="D214">
        <v>4</v>
      </c>
      <c r="E214">
        <v>20</v>
      </c>
      <c r="F214">
        <v>2.9</v>
      </c>
      <c r="G214">
        <v>1.1000000000000001</v>
      </c>
      <c r="H214">
        <v>0</v>
      </c>
      <c r="I214">
        <v>0</v>
      </c>
      <c r="J214">
        <v>533</v>
      </c>
      <c r="K214">
        <v>1</v>
      </c>
      <c r="L214">
        <v>12</v>
      </c>
      <c r="M214">
        <v>0</v>
      </c>
      <c r="N214">
        <v>1</v>
      </c>
      <c r="O214">
        <v>21.7</v>
      </c>
      <c r="P214">
        <v>0.2</v>
      </c>
      <c r="Q214">
        <v>0</v>
      </c>
      <c r="R214">
        <v>0</v>
      </c>
      <c r="S214">
        <v>5</v>
      </c>
      <c r="T214">
        <v>0.15</v>
      </c>
      <c r="U214">
        <v>0.16</v>
      </c>
      <c r="V214">
        <v>0.31</v>
      </c>
      <c r="W214">
        <v>11.29</v>
      </c>
      <c r="X214">
        <v>6</v>
      </c>
      <c r="Y214" t="s">
        <v>1000</v>
      </c>
      <c r="Z214">
        <v>660</v>
      </c>
      <c r="AA214">
        <v>180</v>
      </c>
      <c r="AB214">
        <v>344</v>
      </c>
      <c r="AC214">
        <v>116</v>
      </c>
      <c r="AD214">
        <v>169</v>
      </c>
      <c r="AE214">
        <v>62</v>
      </c>
      <c r="AF214">
        <v>171</v>
      </c>
      <c r="AG214">
        <v>64</v>
      </c>
      <c r="AH214">
        <f>fpl_player_statistics_cleaned[[#This Row],[Total Points]] / fpl_player_statistics_cleaned[[#This Row],[Now Cost]]</f>
        <v>5</v>
      </c>
      <c r="AI214">
        <f>fpl_player_statistics_cleaned[[#This Row],[Goals Scored]] + fpl_player_statistics_cleaned[[#This Row],[Assists]]</f>
        <v>0</v>
      </c>
      <c r="AJ214">
        <f>fpl_player_statistics_cleaned[[#This Row],[Total Points]] / fpl_player_statistics_cleaned[[#This Row],[Starts]]</f>
        <v>3.3333333333333335</v>
      </c>
      <c r="AK214">
        <f>((fpl_player_statistics_cleaned[[#This Row],[Points Per Game]]) * fpl_player_statistics_cleaned[[#This Row],[Form]]) / fpl_player_statistics_cleaned[[#This Row],[Now Cost]]</f>
        <v>0.14499999999999999</v>
      </c>
      <c r="AL214">
        <f>fpl_player_statistics_cleaned[[#This Row],[Minutes]] / fpl_player_statistics_cleaned[[#This Row],[Total Points]]</f>
        <v>26.65</v>
      </c>
      <c r="AM21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2.9</v>
      </c>
    </row>
    <row r="215" spans="1:39" x14ac:dyDescent="0.2">
      <c r="A215" t="s">
        <v>249</v>
      </c>
      <c r="B215" t="s">
        <v>51</v>
      </c>
      <c r="C215" t="s">
        <v>41</v>
      </c>
      <c r="D215">
        <v>6.7</v>
      </c>
      <c r="E215">
        <v>20</v>
      </c>
      <c r="F215">
        <v>2.5</v>
      </c>
      <c r="G215">
        <v>1.4</v>
      </c>
      <c r="H215">
        <v>0</v>
      </c>
      <c r="I215">
        <v>1</v>
      </c>
      <c r="J215">
        <v>530</v>
      </c>
      <c r="K215">
        <v>2</v>
      </c>
      <c r="L215">
        <v>6</v>
      </c>
      <c r="M215">
        <v>0</v>
      </c>
      <c r="N215">
        <v>0</v>
      </c>
      <c r="O215">
        <v>22.5</v>
      </c>
      <c r="P215">
        <v>2.5</v>
      </c>
      <c r="Q215">
        <v>0</v>
      </c>
      <c r="R215">
        <v>0.4</v>
      </c>
      <c r="S215">
        <v>3</v>
      </c>
      <c r="T215">
        <v>0.32</v>
      </c>
      <c r="U215">
        <v>0.65</v>
      </c>
      <c r="V215">
        <v>0.97</v>
      </c>
      <c r="W215">
        <v>7.63</v>
      </c>
      <c r="X215">
        <v>6</v>
      </c>
      <c r="Y215" t="s">
        <v>1000</v>
      </c>
      <c r="Z215">
        <v>50</v>
      </c>
      <c r="AA215">
        <v>34</v>
      </c>
      <c r="AB215">
        <v>163</v>
      </c>
      <c r="AC215">
        <v>72</v>
      </c>
      <c r="AD215">
        <v>214</v>
      </c>
      <c r="AE215">
        <v>98</v>
      </c>
      <c r="AF215">
        <v>153</v>
      </c>
      <c r="AG215">
        <v>53</v>
      </c>
      <c r="AH215">
        <f>fpl_player_statistics_cleaned[[#This Row],[Total Points]] / fpl_player_statistics_cleaned[[#This Row],[Now Cost]]</f>
        <v>2.9850746268656714</v>
      </c>
      <c r="AI215">
        <f>fpl_player_statistics_cleaned[[#This Row],[Goals Scored]] + fpl_player_statistics_cleaned[[#This Row],[Assists]]</f>
        <v>1</v>
      </c>
      <c r="AJ215">
        <f>fpl_player_statistics_cleaned[[#This Row],[Total Points]] / fpl_player_statistics_cleaned[[#This Row],[Starts]]</f>
        <v>3.3333333333333335</v>
      </c>
      <c r="AK215">
        <f>((fpl_player_statistics_cleaned[[#This Row],[Points Per Game]]) * fpl_player_statistics_cleaned[[#This Row],[Form]]) / fpl_player_statistics_cleaned[[#This Row],[Now Cost]]</f>
        <v>0.93283582089552242</v>
      </c>
      <c r="AL215">
        <f>fpl_player_statistics_cleaned[[#This Row],[Minutes]] / fpl_player_statistics_cleaned[[#This Row],[Total Points]]</f>
        <v>26.5</v>
      </c>
      <c r="AM21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18.656716417910449</v>
      </c>
    </row>
    <row r="216" spans="1:39" hidden="1" x14ac:dyDescent="0.2">
      <c r="A216" t="s">
        <v>250</v>
      </c>
      <c r="B216" t="s">
        <v>81</v>
      </c>
      <c r="C216" t="s">
        <v>41</v>
      </c>
      <c r="D216">
        <v>6.2</v>
      </c>
      <c r="E216">
        <v>20</v>
      </c>
      <c r="F216">
        <v>3.3</v>
      </c>
      <c r="G216">
        <v>2.1</v>
      </c>
      <c r="H216">
        <v>1</v>
      </c>
      <c r="I216">
        <v>1</v>
      </c>
      <c r="J216">
        <v>508</v>
      </c>
      <c r="K216">
        <v>1</v>
      </c>
      <c r="L216">
        <v>8</v>
      </c>
      <c r="M216">
        <v>0</v>
      </c>
      <c r="N216">
        <v>0</v>
      </c>
      <c r="O216">
        <v>26.9</v>
      </c>
      <c r="P216">
        <v>0</v>
      </c>
      <c r="Q216">
        <v>0</v>
      </c>
      <c r="R216">
        <v>0</v>
      </c>
      <c r="S216">
        <v>3.2</v>
      </c>
      <c r="T216">
        <v>0.76</v>
      </c>
      <c r="U216">
        <v>0.28999999999999998</v>
      </c>
      <c r="V216">
        <v>1.05</v>
      </c>
      <c r="W216">
        <v>7.99</v>
      </c>
      <c r="X216">
        <v>6</v>
      </c>
      <c r="Y216" t="s">
        <v>251</v>
      </c>
      <c r="Z216">
        <v>79</v>
      </c>
      <c r="AA216">
        <v>53</v>
      </c>
      <c r="AB216">
        <v>734</v>
      </c>
      <c r="AC216">
        <v>325</v>
      </c>
      <c r="AD216">
        <v>139</v>
      </c>
      <c r="AE216">
        <v>63</v>
      </c>
      <c r="AF216">
        <v>125</v>
      </c>
      <c r="AG216">
        <v>43</v>
      </c>
      <c r="AI216">
        <v>3.7777777777777777</v>
      </c>
    </row>
    <row r="217" spans="1:39" x14ac:dyDescent="0.2">
      <c r="A217" t="s">
        <v>252</v>
      </c>
      <c r="B217" t="s">
        <v>97</v>
      </c>
      <c r="C217" t="s">
        <v>38</v>
      </c>
      <c r="D217">
        <v>4.3</v>
      </c>
      <c r="E217">
        <v>20</v>
      </c>
      <c r="F217">
        <v>1.8</v>
      </c>
      <c r="G217">
        <v>0.2</v>
      </c>
      <c r="H217">
        <v>0</v>
      </c>
      <c r="I217">
        <v>0</v>
      </c>
      <c r="J217">
        <v>990</v>
      </c>
      <c r="K217">
        <v>1</v>
      </c>
      <c r="L217">
        <v>23</v>
      </c>
      <c r="M217">
        <v>0</v>
      </c>
      <c r="N217">
        <v>0</v>
      </c>
      <c r="O217">
        <v>33.4</v>
      </c>
      <c r="P217">
        <v>1.8</v>
      </c>
      <c r="Q217">
        <v>0</v>
      </c>
      <c r="R217">
        <v>0.4</v>
      </c>
      <c r="S217">
        <v>4.7</v>
      </c>
      <c r="T217">
        <v>0.53</v>
      </c>
      <c r="U217">
        <v>0.2</v>
      </c>
      <c r="V217">
        <v>0.73</v>
      </c>
      <c r="W217">
        <v>16.63</v>
      </c>
      <c r="X217">
        <v>11</v>
      </c>
      <c r="Y217" t="s">
        <v>1000</v>
      </c>
      <c r="Z217">
        <v>583</v>
      </c>
      <c r="AA217">
        <v>142</v>
      </c>
      <c r="AB217">
        <v>199</v>
      </c>
      <c r="AC217">
        <v>65</v>
      </c>
      <c r="AD217">
        <v>292</v>
      </c>
      <c r="AE217">
        <v>104</v>
      </c>
      <c r="AF217">
        <v>369</v>
      </c>
      <c r="AG217">
        <v>131</v>
      </c>
      <c r="AH217">
        <f>fpl_player_statistics_cleaned[[#This Row],[Total Points]] / fpl_player_statistics_cleaned[[#This Row],[Now Cost]]</f>
        <v>4.6511627906976747</v>
      </c>
      <c r="AI217">
        <f>fpl_player_statistics_cleaned[[#This Row],[Goals Scored]] + fpl_player_statistics_cleaned[[#This Row],[Assists]]</f>
        <v>0</v>
      </c>
      <c r="AJ217">
        <f>fpl_player_statistics_cleaned[[#This Row],[Total Points]] / fpl_player_statistics_cleaned[[#This Row],[Starts]]</f>
        <v>1.8181818181818181</v>
      </c>
      <c r="AK217">
        <f>((fpl_player_statistics_cleaned[[#This Row],[Points Per Game]]) * fpl_player_statistics_cleaned[[#This Row],[Form]]) / fpl_player_statistics_cleaned[[#This Row],[Now Cost]]</f>
        <v>0.75348837209302333</v>
      </c>
      <c r="AL217">
        <f>fpl_player_statistics_cleaned[[#This Row],[Minutes]] / fpl_player_statistics_cleaned[[#This Row],[Total Points]]</f>
        <v>49.5</v>
      </c>
      <c r="AM21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15.069767441860467</v>
      </c>
    </row>
    <row r="218" spans="1:39" x14ac:dyDescent="0.2">
      <c r="A218" t="s">
        <v>253</v>
      </c>
      <c r="B218" t="s">
        <v>122</v>
      </c>
      <c r="C218" t="s">
        <v>38</v>
      </c>
      <c r="D218">
        <v>4.7</v>
      </c>
      <c r="E218">
        <v>20</v>
      </c>
      <c r="F218">
        <v>1.8</v>
      </c>
      <c r="G218">
        <v>3.4</v>
      </c>
      <c r="H218">
        <v>1</v>
      </c>
      <c r="I218">
        <v>0</v>
      </c>
      <c r="J218">
        <v>990</v>
      </c>
      <c r="K218">
        <v>0</v>
      </c>
      <c r="L218">
        <v>20</v>
      </c>
      <c r="M218">
        <v>0</v>
      </c>
      <c r="N218">
        <v>2</v>
      </c>
      <c r="O218">
        <v>48.5</v>
      </c>
      <c r="P218">
        <v>1.2</v>
      </c>
      <c r="Q218">
        <v>1</v>
      </c>
      <c r="R218">
        <v>0.3</v>
      </c>
      <c r="S218">
        <v>4.3</v>
      </c>
      <c r="T218">
        <v>0.88</v>
      </c>
      <c r="U218">
        <v>0.73</v>
      </c>
      <c r="V218">
        <v>1.61</v>
      </c>
      <c r="W218">
        <v>16.25</v>
      </c>
      <c r="X218">
        <v>11</v>
      </c>
      <c r="Y218" t="s">
        <v>1000</v>
      </c>
      <c r="Z218">
        <v>380</v>
      </c>
      <c r="AA218">
        <v>66</v>
      </c>
      <c r="AB218">
        <v>247</v>
      </c>
      <c r="AC218">
        <v>82</v>
      </c>
      <c r="AD218">
        <v>295</v>
      </c>
      <c r="AE218">
        <v>106</v>
      </c>
      <c r="AF218">
        <v>93</v>
      </c>
      <c r="AG218">
        <v>32</v>
      </c>
      <c r="AH218">
        <f>fpl_player_statistics_cleaned[[#This Row],[Total Points]] / fpl_player_statistics_cleaned[[#This Row],[Now Cost]]</f>
        <v>4.2553191489361701</v>
      </c>
      <c r="AI218">
        <f>fpl_player_statistics_cleaned[[#This Row],[Goals Scored]] + fpl_player_statistics_cleaned[[#This Row],[Assists]]</f>
        <v>1</v>
      </c>
      <c r="AJ218">
        <f>fpl_player_statistics_cleaned[[#This Row],[Total Points]] / fpl_player_statistics_cleaned[[#This Row],[Starts]]</f>
        <v>1.8181818181818181</v>
      </c>
      <c r="AK218">
        <f>((fpl_player_statistics_cleaned[[#This Row],[Points Per Game]]) * fpl_player_statistics_cleaned[[#This Row],[Form]]) / fpl_player_statistics_cleaned[[#This Row],[Now Cost]]</f>
        <v>0.45957446808510638</v>
      </c>
      <c r="AL218">
        <f>fpl_player_statistics_cleaned[[#This Row],[Minutes]] / fpl_player_statistics_cleaned[[#This Row],[Total Points]]</f>
        <v>49.5</v>
      </c>
      <c r="AM21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9.1914893617021267</v>
      </c>
    </row>
    <row r="219" spans="1:39" hidden="1" x14ac:dyDescent="0.2">
      <c r="A219" t="s">
        <v>254</v>
      </c>
      <c r="B219" t="s">
        <v>63</v>
      </c>
      <c r="C219" t="s">
        <v>55</v>
      </c>
      <c r="D219">
        <v>5.4</v>
      </c>
      <c r="E219">
        <v>20</v>
      </c>
      <c r="F219">
        <v>3.3</v>
      </c>
      <c r="G219">
        <v>5.5</v>
      </c>
      <c r="H219">
        <v>0</v>
      </c>
      <c r="I219">
        <v>0</v>
      </c>
      <c r="J219">
        <v>540</v>
      </c>
      <c r="K219">
        <v>2</v>
      </c>
      <c r="L219">
        <v>7</v>
      </c>
      <c r="M219">
        <v>9</v>
      </c>
      <c r="N219">
        <v>2</v>
      </c>
      <c r="O219">
        <v>10.7</v>
      </c>
      <c r="P219">
        <v>0</v>
      </c>
      <c r="Q219">
        <v>1</v>
      </c>
      <c r="R219">
        <v>0</v>
      </c>
      <c r="S219">
        <v>3.7</v>
      </c>
      <c r="T219">
        <v>0</v>
      </c>
      <c r="U219">
        <v>0.01</v>
      </c>
      <c r="V219">
        <v>0.01</v>
      </c>
      <c r="W219">
        <v>6.87</v>
      </c>
      <c r="X219">
        <v>6</v>
      </c>
      <c r="Y219" t="s">
        <v>255</v>
      </c>
      <c r="Z219">
        <v>157</v>
      </c>
      <c r="AA219">
        <v>4</v>
      </c>
      <c r="AB219">
        <v>708</v>
      </c>
      <c r="AC219">
        <v>86</v>
      </c>
      <c r="AD219">
        <v>138</v>
      </c>
      <c r="AE219">
        <v>14</v>
      </c>
      <c r="AF219">
        <v>66</v>
      </c>
      <c r="AG219">
        <v>13</v>
      </c>
      <c r="AI219">
        <v>3.7777777777777777</v>
      </c>
    </row>
    <row r="220" spans="1:39" x14ac:dyDescent="0.2">
      <c r="A220" t="s">
        <v>256</v>
      </c>
      <c r="B220" t="s">
        <v>34</v>
      </c>
      <c r="C220" t="s">
        <v>41</v>
      </c>
      <c r="D220">
        <v>6.3</v>
      </c>
      <c r="E220">
        <v>20</v>
      </c>
      <c r="F220">
        <v>3.3</v>
      </c>
      <c r="G220">
        <v>3.2</v>
      </c>
      <c r="H220">
        <v>1</v>
      </c>
      <c r="I220">
        <v>2</v>
      </c>
      <c r="J220">
        <v>213</v>
      </c>
      <c r="K220">
        <v>0</v>
      </c>
      <c r="L220">
        <v>3</v>
      </c>
      <c r="M220">
        <v>0</v>
      </c>
      <c r="N220">
        <v>2</v>
      </c>
      <c r="O220">
        <v>25.5</v>
      </c>
      <c r="P220">
        <v>3.2</v>
      </c>
      <c r="Q220">
        <v>0</v>
      </c>
      <c r="R220">
        <v>0.5</v>
      </c>
      <c r="S220">
        <v>3.2</v>
      </c>
      <c r="T220">
        <v>0.8</v>
      </c>
      <c r="U220">
        <v>0.8</v>
      </c>
      <c r="V220">
        <v>1.6</v>
      </c>
      <c r="W220">
        <v>1.72</v>
      </c>
      <c r="X220">
        <v>3</v>
      </c>
      <c r="Y220" t="s">
        <v>1000</v>
      </c>
      <c r="Z220">
        <v>73</v>
      </c>
      <c r="AA220">
        <v>50</v>
      </c>
      <c r="AB220">
        <v>118</v>
      </c>
      <c r="AC220">
        <v>54</v>
      </c>
      <c r="AD220">
        <v>140</v>
      </c>
      <c r="AE220">
        <v>64</v>
      </c>
      <c r="AF220">
        <v>96</v>
      </c>
      <c r="AG220">
        <v>31</v>
      </c>
      <c r="AH220">
        <f>fpl_player_statistics_cleaned[[#This Row],[Total Points]] / fpl_player_statistics_cleaned[[#This Row],[Now Cost]]</f>
        <v>3.1746031746031749</v>
      </c>
      <c r="AI220">
        <f>fpl_player_statistics_cleaned[[#This Row],[Goals Scored]] + fpl_player_statistics_cleaned[[#This Row],[Assists]]</f>
        <v>3</v>
      </c>
      <c r="AJ220">
        <f>fpl_player_statistics_cleaned[[#This Row],[Total Points]] / fpl_player_statistics_cleaned[[#This Row],[Starts]]</f>
        <v>6.666666666666667</v>
      </c>
      <c r="AK220">
        <f>((fpl_player_statistics_cleaned[[#This Row],[Points Per Game]]) * fpl_player_statistics_cleaned[[#This Row],[Form]]) / fpl_player_statistics_cleaned[[#This Row],[Now Cost]]</f>
        <v>1.6761904761904762</v>
      </c>
      <c r="AL220">
        <f>fpl_player_statistics_cleaned[[#This Row],[Minutes]] / fpl_player_statistics_cleaned[[#This Row],[Total Points]]</f>
        <v>10.65</v>
      </c>
      <c r="AM22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33.523809523809518</v>
      </c>
    </row>
    <row r="221" spans="1:39" x14ac:dyDescent="0.2">
      <c r="A221" t="s">
        <v>257</v>
      </c>
      <c r="B221" t="s">
        <v>63</v>
      </c>
      <c r="C221" t="s">
        <v>41</v>
      </c>
      <c r="D221">
        <v>6.4</v>
      </c>
      <c r="E221">
        <v>20</v>
      </c>
      <c r="F221">
        <v>2.5</v>
      </c>
      <c r="G221">
        <v>0.3</v>
      </c>
      <c r="H221">
        <v>2</v>
      </c>
      <c r="I221">
        <v>1</v>
      </c>
      <c r="J221">
        <v>117</v>
      </c>
      <c r="K221">
        <v>0</v>
      </c>
      <c r="L221">
        <v>3</v>
      </c>
      <c r="M221">
        <v>0</v>
      </c>
      <c r="N221">
        <v>0</v>
      </c>
      <c r="O221">
        <v>17.7</v>
      </c>
      <c r="P221">
        <v>1.5</v>
      </c>
      <c r="Q221">
        <v>0</v>
      </c>
      <c r="R221">
        <v>0.2</v>
      </c>
      <c r="S221">
        <v>3.1</v>
      </c>
      <c r="T221">
        <v>0.8</v>
      </c>
      <c r="U221">
        <v>7.0000000000000007E-2</v>
      </c>
      <c r="V221">
        <v>0.87</v>
      </c>
      <c r="W221">
        <v>2.02</v>
      </c>
      <c r="X221">
        <v>0</v>
      </c>
      <c r="Y221" t="s">
        <v>1000</v>
      </c>
      <c r="Z221">
        <v>63</v>
      </c>
      <c r="AA221">
        <v>41</v>
      </c>
      <c r="AB221">
        <v>233</v>
      </c>
      <c r="AC221">
        <v>113</v>
      </c>
      <c r="AD221">
        <v>212</v>
      </c>
      <c r="AE221">
        <v>96</v>
      </c>
      <c r="AF221">
        <v>301</v>
      </c>
      <c r="AG221">
        <v>104</v>
      </c>
      <c r="AH221">
        <f>fpl_player_statistics_cleaned[[#This Row],[Total Points]] / fpl_player_statistics_cleaned[[#This Row],[Now Cost]]</f>
        <v>3.125</v>
      </c>
      <c r="AI221">
        <f>fpl_player_statistics_cleaned[[#This Row],[Goals Scored]] + fpl_player_statistics_cleaned[[#This Row],[Assists]]</f>
        <v>3</v>
      </c>
      <c r="AJ221" t="e">
        <f>fpl_player_statistics_cleaned[[#This Row],[Total Points]] / fpl_player_statistics_cleaned[[#This Row],[Starts]]</f>
        <v>#DIV/0!</v>
      </c>
      <c r="AK221">
        <f>((fpl_player_statistics_cleaned[[#This Row],[Points Per Game]]) * fpl_player_statistics_cleaned[[#This Row],[Form]]) / fpl_player_statistics_cleaned[[#This Row],[Now Cost]]</f>
        <v>0.5859375</v>
      </c>
      <c r="AL221">
        <f>fpl_player_statistics_cleaned[[#This Row],[Minutes]] / fpl_player_statistics_cleaned[[#This Row],[Total Points]]</f>
        <v>5.85</v>
      </c>
      <c r="AM22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11.71875</v>
      </c>
    </row>
    <row r="222" spans="1:39" x14ac:dyDescent="0.2">
      <c r="A222" t="s">
        <v>258</v>
      </c>
      <c r="B222" t="s">
        <v>92</v>
      </c>
      <c r="C222" t="s">
        <v>41</v>
      </c>
      <c r="D222">
        <v>4.5</v>
      </c>
      <c r="E222">
        <v>19</v>
      </c>
      <c r="F222">
        <v>1.7</v>
      </c>
      <c r="G222">
        <v>4</v>
      </c>
      <c r="H222">
        <v>0</v>
      </c>
      <c r="I222">
        <v>0</v>
      </c>
      <c r="J222">
        <v>659</v>
      </c>
      <c r="K222">
        <v>2</v>
      </c>
      <c r="L222">
        <v>11</v>
      </c>
      <c r="M222">
        <v>0</v>
      </c>
      <c r="N222">
        <v>0</v>
      </c>
      <c r="O222">
        <v>27.8</v>
      </c>
      <c r="P222">
        <v>1.8</v>
      </c>
      <c r="Q222">
        <v>0</v>
      </c>
      <c r="R222">
        <v>0.4</v>
      </c>
      <c r="S222">
        <v>4.2</v>
      </c>
      <c r="T222">
        <v>0.8</v>
      </c>
      <c r="U222">
        <v>0.35</v>
      </c>
      <c r="V222">
        <v>1.1499999999999999</v>
      </c>
      <c r="W222">
        <v>10.26</v>
      </c>
      <c r="X222">
        <v>9</v>
      </c>
      <c r="Y222" t="s">
        <v>1000</v>
      </c>
      <c r="Z222">
        <v>468</v>
      </c>
      <c r="AA222">
        <v>281</v>
      </c>
      <c r="AB222">
        <v>204</v>
      </c>
      <c r="AC222">
        <v>100</v>
      </c>
      <c r="AD222">
        <v>309</v>
      </c>
      <c r="AE222">
        <v>143</v>
      </c>
      <c r="AF222">
        <v>87</v>
      </c>
      <c r="AG222">
        <v>28</v>
      </c>
      <c r="AH222">
        <f>fpl_player_statistics_cleaned[[#This Row],[Total Points]] / fpl_player_statistics_cleaned[[#This Row],[Now Cost]]</f>
        <v>4.2222222222222223</v>
      </c>
      <c r="AI222">
        <f>fpl_player_statistics_cleaned[[#This Row],[Goals Scored]] + fpl_player_statistics_cleaned[[#This Row],[Assists]]</f>
        <v>0</v>
      </c>
      <c r="AJ222">
        <f>fpl_player_statistics_cleaned[[#This Row],[Total Points]] / fpl_player_statistics_cleaned[[#This Row],[Starts]]</f>
        <v>2.1111111111111112</v>
      </c>
      <c r="AK222">
        <f>((fpl_player_statistics_cleaned[[#This Row],[Points Per Game]]) * fpl_player_statistics_cleaned[[#This Row],[Form]]) / fpl_player_statistics_cleaned[[#This Row],[Now Cost]]</f>
        <v>0.68</v>
      </c>
      <c r="AL222">
        <f>fpl_player_statistics_cleaned[[#This Row],[Minutes]] / fpl_player_statistics_cleaned[[#This Row],[Total Points]]</f>
        <v>34.684210526315788</v>
      </c>
      <c r="AM22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12.92</v>
      </c>
    </row>
    <row r="223" spans="1:39" x14ac:dyDescent="0.2">
      <c r="A223" t="s">
        <v>259</v>
      </c>
      <c r="B223" t="s">
        <v>63</v>
      </c>
      <c r="C223" t="s">
        <v>55</v>
      </c>
      <c r="D223">
        <v>4.3</v>
      </c>
      <c r="E223">
        <v>19</v>
      </c>
      <c r="F223">
        <v>3.8</v>
      </c>
      <c r="G223">
        <v>1</v>
      </c>
      <c r="H223">
        <v>0</v>
      </c>
      <c r="I223">
        <v>0</v>
      </c>
      <c r="J223">
        <v>450</v>
      </c>
      <c r="K223">
        <v>1</v>
      </c>
      <c r="L223">
        <v>10</v>
      </c>
      <c r="M223">
        <v>17</v>
      </c>
      <c r="N223">
        <v>0</v>
      </c>
      <c r="O223">
        <v>13.9</v>
      </c>
      <c r="P223">
        <v>4.2</v>
      </c>
      <c r="Q223">
        <v>0</v>
      </c>
      <c r="R223">
        <v>1</v>
      </c>
      <c r="S223">
        <v>4.4000000000000004</v>
      </c>
      <c r="T223">
        <v>0</v>
      </c>
      <c r="U223">
        <v>0</v>
      </c>
      <c r="V223">
        <v>0</v>
      </c>
      <c r="W223">
        <v>7.1</v>
      </c>
      <c r="X223">
        <v>5</v>
      </c>
      <c r="Y223" t="s">
        <v>1000</v>
      </c>
      <c r="Z223">
        <v>590</v>
      </c>
      <c r="AA223">
        <v>37</v>
      </c>
      <c r="AB223">
        <v>68</v>
      </c>
      <c r="AC223">
        <v>5</v>
      </c>
      <c r="AD223">
        <v>90</v>
      </c>
      <c r="AE223">
        <v>8</v>
      </c>
      <c r="AF223">
        <v>178</v>
      </c>
      <c r="AG223">
        <v>25</v>
      </c>
      <c r="AH223">
        <f>fpl_player_statistics_cleaned[[#This Row],[Total Points]] / fpl_player_statistics_cleaned[[#This Row],[Now Cost]]</f>
        <v>4.4186046511627906</v>
      </c>
      <c r="AI223">
        <f>fpl_player_statistics_cleaned[[#This Row],[Goals Scored]] + fpl_player_statistics_cleaned[[#This Row],[Assists]]</f>
        <v>0</v>
      </c>
      <c r="AJ223">
        <f>fpl_player_statistics_cleaned[[#This Row],[Total Points]] / fpl_player_statistics_cleaned[[#This Row],[Starts]]</f>
        <v>3.8</v>
      </c>
      <c r="AK223">
        <f>((fpl_player_statistics_cleaned[[#This Row],[Points Per Game]]) * fpl_player_statistics_cleaned[[#This Row],[Form]]) / fpl_player_statistics_cleaned[[#This Row],[Now Cost]]</f>
        <v>3.7116279069767439</v>
      </c>
      <c r="AL223">
        <f>fpl_player_statistics_cleaned[[#This Row],[Minutes]] / fpl_player_statistics_cleaned[[#This Row],[Total Points]]</f>
        <v>23.684210526315791</v>
      </c>
      <c r="AM22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70.520930232558143</v>
      </c>
    </row>
    <row r="224" spans="1:39" x14ac:dyDescent="0.2">
      <c r="A224" t="s">
        <v>935</v>
      </c>
      <c r="B224" t="s">
        <v>122</v>
      </c>
      <c r="C224" t="s">
        <v>38</v>
      </c>
      <c r="D224">
        <v>5.2</v>
      </c>
      <c r="E224">
        <v>19</v>
      </c>
      <c r="F224">
        <v>1.7</v>
      </c>
      <c r="G224">
        <v>3.8</v>
      </c>
      <c r="H224">
        <v>0</v>
      </c>
      <c r="I224">
        <v>0</v>
      </c>
      <c r="J224">
        <v>990</v>
      </c>
      <c r="K224">
        <v>0</v>
      </c>
      <c r="L224">
        <v>20</v>
      </c>
      <c r="M224">
        <v>0</v>
      </c>
      <c r="N224">
        <v>0</v>
      </c>
      <c r="O224">
        <v>26.4</v>
      </c>
      <c r="P224">
        <v>1.8</v>
      </c>
      <c r="Q224">
        <v>0</v>
      </c>
      <c r="R224">
        <v>0.3</v>
      </c>
      <c r="S224">
        <v>3.7</v>
      </c>
      <c r="T224">
        <v>0.56000000000000005</v>
      </c>
      <c r="U224">
        <v>0.22</v>
      </c>
      <c r="V224">
        <v>0.78</v>
      </c>
      <c r="W224">
        <v>16.25</v>
      </c>
      <c r="X224">
        <v>11</v>
      </c>
      <c r="Y224" t="s">
        <v>1000</v>
      </c>
      <c r="Z224">
        <v>219</v>
      </c>
      <c r="AA224">
        <v>31</v>
      </c>
      <c r="AB224">
        <v>215</v>
      </c>
      <c r="AC224">
        <v>68</v>
      </c>
      <c r="AD224">
        <v>313</v>
      </c>
      <c r="AE224">
        <v>113</v>
      </c>
      <c r="AF224">
        <v>88</v>
      </c>
      <c r="AG224">
        <v>30</v>
      </c>
      <c r="AH224">
        <f>fpl_player_statistics_cleaned[[#This Row],[Total Points]] / fpl_player_statistics_cleaned[[#This Row],[Now Cost]]</f>
        <v>3.6538461538461537</v>
      </c>
      <c r="AI224">
        <f>fpl_player_statistics_cleaned[[#This Row],[Goals Scored]] + fpl_player_statistics_cleaned[[#This Row],[Assists]]</f>
        <v>0</v>
      </c>
      <c r="AJ224">
        <f>fpl_player_statistics_cleaned[[#This Row],[Total Points]] / fpl_player_statistics_cleaned[[#This Row],[Starts]]</f>
        <v>1.7272727272727273</v>
      </c>
      <c r="AK224">
        <f>((fpl_player_statistics_cleaned[[#This Row],[Points Per Game]]) * fpl_player_statistics_cleaned[[#This Row],[Form]]) / fpl_player_statistics_cleaned[[#This Row],[Now Cost]]</f>
        <v>0.58846153846153848</v>
      </c>
      <c r="AL224">
        <f>fpl_player_statistics_cleaned[[#This Row],[Minutes]] / fpl_player_statistics_cleaned[[#This Row],[Total Points]]</f>
        <v>52.10526315789474</v>
      </c>
      <c r="AM22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11.180769230769231</v>
      </c>
    </row>
    <row r="225" spans="1:39" x14ac:dyDescent="0.2">
      <c r="A225" t="s">
        <v>260</v>
      </c>
      <c r="B225" t="s">
        <v>63</v>
      </c>
      <c r="C225" t="s">
        <v>41</v>
      </c>
      <c r="D225">
        <v>8</v>
      </c>
      <c r="E225">
        <v>19</v>
      </c>
      <c r="F225">
        <v>1.7</v>
      </c>
      <c r="G225">
        <v>7.2</v>
      </c>
      <c r="H225">
        <v>0</v>
      </c>
      <c r="I225">
        <v>0</v>
      </c>
      <c r="J225">
        <v>686</v>
      </c>
      <c r="K225">
        <v>2</v>
      </c>
      <c r="L225">
        <v>12</v>
      </c>
      <c r="M225">
        <v>0</v>
      </c>
      <c r="N225">
        <v>0</v>
      </c>
      <c r="O225">
        <v>44.3</v>
      </c>
      <c r="P225">
        <v>1.5</v>
      </c>
      <c r="Q225">
        <v>0</v>
      </c>
      <c r="R225">
        <v>0.2</v>
      </c>
      <c r="S225">
        <v>2.4</v>
      </c>
      <c r="T225">
        <v>1.28</v>
      </c>
      <c r="U225">
        <v>1.18</v>
      </c>
      <c r="V225">
        <v>2.4500000000000002</v>
      </c>
      <c r="W225">
        <v>10.96</v>
      </c>
      <c r="X225">
        <v>7</v>
      </c>
      <c r="Y225" t="s">
        <v>1000</v>
      </c>
      <c r="Z225">
        <v>17</v>
      </c>
      <c r="AA225">
        <v>11</v>
      </c>
      <c r="AB225">
        <v>239</v>
      </c>
      <c r="AC225">
        <v>118</v>
      </c>
      <c r="AD225">
        <v>317</v>
      </c>
      <c r="AE225">
        <v>147</v>
      </c>
      <c r="AF225">
        <v>54</v>
      </c>
      <c r="AG225">
        <v>17</v>
      </c>
      <c r="AH225">
        <f>fpl_player_statistics_cleaned[[#This Row],[Total Points]] / fpl_player_statistics_cleaned[[#This Row],[Now Cost]]</f>
        <v>2.375</v>
      </c>
      <c r="AI225">
        <f>fpl_player_statistics_cleaned[[#This Row],[Goals Scored]] + fpl_player_statistics_cleaned[[#This Row],[Assists]]</f>
        <v>0</v>
      </c>
      <c r="AJ225">
        <f>fpl_player_statistics_cleaned[[#This Row],[Total Points]] / fpl_player_statistics_cleaned[[#This Row],[Starts]]</f>
        <v>2.7142857142857144</v>
      </c>
      <c r="AK225">
        <f>((fpl_player_statistics_cleaned[[#This Row],[Points Per Game]]) * fpl_player_statistics_cleaned[[#This Row],[Form]]) / fpl_player_statistics_cleaned[[#This Row],[Now Cost]]</f>
        <v>0.31874999999999998</v>
      </c>
      <c r="AL225">
        <f>fpl_player_statistics_cleaned[[#This Row],[Minutes]] / fpl_player_statistics_cleaned[[#This Row],[Total Points]]</f>
        <v>36.10526315789474</v>
      </c>
      <c r="AM22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6.0562499999999995</v>
      </c>
    </row>
    <row r="226" spans="1:39" x14ac:dyDescent="0.2">
      <c r="A226" t="s">
        <v>261</v>
      </c>
      <c r="B226" t="s">
        <v>153</v>
      </c>
      <c r="C226" t="s">
        <v>41</v>
      </c>
      <c r="D226">
        <v>5.0999999999999996</v>
      </c>
      <c r="E226">
        <v>19</v>
      </c>
      <c r="F226">
        <v>1.9</v>
      </c>
      <c r="G226">
        <v>0.2</v>
      </c>
      <c r="H226">
        <v>0</v>
      </c>
      <c r="I226">
        <v>0</v>
      </c>
      <c r="J226">
        <v>545</v>
      </c>
      <c r="K226">
        <v>1</v>
      </c>
      <c r="L226">
        <v>10</v>
      </c>
      <c r="M226">
        <v>0</v>
      </c>
      <c r="N226">
        <v>1</v>
      </c>
      <c r="O226">
        <v>31.7</v>
      </c>
      <c r="P226">
        <v>1.2</v>
      </c>
      <c r="Q226">
        <v>0</v>
      </c>
      <c r="R226">
        <v>0.2</v>
      </c>
      <c r="S226">
        <v>3.7</v>
      </c>
      <c r="T226">
        <v>1.17</v>
      </c>
      <c r="U226">
        <v>0.35</v>
      </c>
      <c r="V226">
        <v>1.52</v>
      </c>
      <c r="W226">
        <v>6.98</v>
      </c>
      <c r="X226">
        <v>7</v>
      </c>
      <c r="Y226" t="s">
        <v>1000</v>
      </c>
      <c r="Z226">
        <v>234</v>
      </c>
      <c r="AA226">
        <v>145</v>
      </c>
      <c r="AB226">
        <v>252</v>
      </c>
      <c r="AC226">
        <v>120</v>
      </c>
      <c r="AD226">
        <v>289</v>
      </c>
      <c r="AE226">
        <v>133</v>
      </c>
      <c r="AF226">
        <v>368</v>
      </c>
      <c r="AG226">
        <v>126</v>
      </c>
      <c r="AH226">
        <f>fpl_player_statistics_cleaned[[#This Row],[Total Points]] / fpl_player_statistics_cleaned[[#This Row],[Now Cost]]</f>
        <v>3.7254901960784315</v>
      </c>
      <c r="AI226">
        <f>fpl_player_statistics_cleaned[[#This Row],[Goals Scored]] + fpl_player_statistics_cleaned[[#This Row],[Assists]]</f>
        <v>0</v>
      </c>
      <c r="AJ226">
        <f>fpl_player_statistics_cleaned[[#This Row],[Total Points]] / fpl_player_statistics_cleaned[[#This Row],[Starts]]</f>
        <v>2.7142857142857144</v>
      </c>
      <c r="AK226">
        <f>((fpl_player_statistics_cleaned[[#This Row],[Points Per Game]]) * fpl_player_statistics_cleaned[[#This Row],[Form]]) / fpl_player_statistics_cleaned[[#This Row],[Now Cost]]</f>
        <v>0.44705882352941173</v>
      </c>
      <c r="AL226">
        <f>fpl_player_statistics_cleaned[[#This Row],[Minutes]] / fpl_player_statistics_cleaned[[#This Row],[Total Points]]</f>
        <v>28.684210526315791</v>
      </c>
      <c r="AM22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8.4941176470588236</v>
      </c>
    </row>
    <row r="227" spans="1:39" x14ac:dyDescent="0.2">
      <c r="A227" t="s">
        <v>262</v>
      </c>
      <c r="B227" t="s">
        <v>46</v>
      </c>
      <c r="C227" t="s">
        <v>38</v>
      </c>
      <c r="D227">
        <v>4.4000000000000004</v>
      </c>
      <c r="E227">
        <v>19</v>
      </c>
      <c r="F227">
        <v>2.7</v>
      </c>
      <c r="G227">
        <v>0.2</v>
      </c>
      <c r="H227">
        <v>0</v>
      </c>
      <c r="I227">
        <v>2</v>
      </c>
      <c r="J227">
        <v>388</v>
      </c>
      <c r="K227">
        <v>1</v>
      </c>
      <c r="L227">
        <v>6</v>
      </c>
      <c r="M227">
        <v>0</v>
      </c>
      <c r="N227">
        <v>0</v>
      </c>
      <c r="O227">
        <v>19</v>
      </c>
      <c r="P227">
        <v>2.8</v>
      </c>
      <c r="Q227">
        <v>0</v>
      </c>
      <c r="R227">
        <v>0.6</v>
      </c>
      <c r="S227">
        <v>4.3</v>
      </c>
      <c r="T227">
        <v>0.43</v>
      </c>
      <c r="U227">
        <v>0.5</v>
      </c>
      <c r="V227">
        <v>0.93</v>
      </c>
      <c r="W227">
        <v>4.04</v>
      </c>
      <c r="X227">
        <v>4</v>
      </c>
      <c r="Y227" t="s">
        <v>1000</v>
      </c>
      <c r="Z227">
        <v>499</v>
      </c>
      <c r="AA227">
        <v>110</v>
      </c>
      <c r="AB227">
        <v>135</v>
      </c>
      <c r="AC227">
        <v>49</v>
      </c>
      <c r="AD227">
        <v>190</v>
      </c>
      <c r="AE227">
        <v>69</v>
      </c>
      <c r="AF227">
        <v>392</v>
      </c>
      <c r="AG227">
        <v>143</v>
      </c>
      <c r="AH227">
        <f>fpl_player_statistics_cleaned[[#This Row],[Total Points]] / fpl_player_statistics_cleaned[[#This Row],[Now Cost]]</f>
        <v>4.3181818181818175</v>
      </c>
      <c r="AI227">
        <f>fpl_player_statistics_cleaned[[#This Row],[Goals Scored]] + fpl_player_statistics_cleaned[[#This Row],[Assists]]</f>
        <v>2</v>
      </c>
      <c r="AJ227">
        <f>fpl_player_statistics_cleaned[[#This Row],[Total Points]] / fpl_player_statistics_cleaned[[#This Row],[Starts]]</f>
        <v>4.75</v>
      </c>
      <c r="AK227">
        <f>((fpl_player_statistics_cleaned[[#This Row],[Points Per Game]]) * fpl_player_statistics_cleaned[[#This Row],[Form]]) / fpl_player_statistics_cleaned[[#This Row],[Now Cost]]</f>
        <v>1.718181818181818</v>
      </c>
      <c r="AL227">
        <f>fpl_player_statistics_cleaned[[#This Row],[Minutes]] / fpl_player_statistics_cleaned[[#This Row],[Total Points]]</f>
        <v>20.421052631578949</v>
      </c>
      <c r="AM22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32.645454545454541</v>
      </c>
    </row>
    <row r="228" spans="1:39" hidden="1" x14ac:dyDescent="0.2">
      <c r="A228" t="s">
        <v>263</v>
      </c>
      <c r="B228" t="s">
        <v>81</v>
      </c>
      <c r="C228" t="s">
        <v>41</v>
      </c>
      <c r="D228">
        <v>5.4</v>
      </c>
      <c r="E228">
        <v>19</v>
      </c>
      <c r="F228">
        <v>2.7</v>
      </c>
      <c r="G228">
        <v>0</v>
      </c>
      <c r="H228">
        <v>1</v>
      </c>
      <c r="I228">
        <v>1</v>
      </c>
      <c r="J228">
        <v>218</v>
      </c>
      <c r="K228">
        <v>0</v>
      </c>
      <c r="L228">
        <v>3</v>
      </c>
      <c r="M228">
        <v>0</v>
      </c>
      <c r="N228">
        <v>2</v>
      </c>
      <c r="O228">
        <v>22.4</v>
      </c>
      <c r="P228">
        <v>0</v>
      </c>
      <c r="Q228">
        <v>0</v>
      </c>
      <c r="R228">
        <v>0</v>
      </c>
      <c r="S228">
        <v>3.5</v>
      </c>
      <c r="T228">
        <v>1.57</v>
      </c>
      <c r="U228">
        <v>0.4</v>
      </c>
      <c r="V228">
        <v>1.97</v>
      </c>
      <c r="W228">
        <v>2.9</v>
      </c>
      <c r="X228">
        <v>2</v>
      </c>
      <c r="Y228" t="s">
        <v>211</v>
      </c>
      <c r="Z228">
        <v>184</v>
      </c>
      <c r="AA228">
        <v>115</v>
      </c>
      <c r="AB228">
        <v>719</v>
      </c>
      <c r="AC228">
        <v>313</v>
      </c>
      <c r="AD228">
        <v>193</v>
      </c>
      <c r="AE228">
        <v>86</v>
      </c>
      <c r="AF228">
        <v>570</v>
      </c>
      <c r="AG228">
        <v>212</v>
      </c>
      <c r="AI228">
        <v>4</v>
      </c>
    </row>
    <row r="229" spans="1:39" x14ac:dyDescent="0.2">
      <c r="A229" t="s">
        <v>264</v>
      </c>
      <c r="B229" t="s">
        <v>51</v>
      </c>
      <c r="C229" t="s">
        <v>41</v>
      </c>
      <c r="D229">
        <v>5.3</v>
      </c>
      <c r="E229">
        <v>19</v>
      </c>
      <c r="F229">
        <v>1.9</v>
      </c>
      <c r="G229">
        <v>0</v>
      </c>
      <c r="H229">
        <v>0</v>
      </c>
      <c r="I229">
        <v>1</v>
      </c>
      <c r="J229">
        <v>376</v>
      </c>
      <c r="K229">
        <v>0</v>
      </c>
      <c r="L229">
        <v>6</v>
      </c>
      <c r="M229">
        <v>0</v>
      </c>
      <c r="N229">
        <v>3</v>
      </c>
      <c r="O229">
        <v>24.8</v>
      </c>
      <c r="P229">
        <v>2.5</v>
      </c>
      <c r="Q229">
        <v>0</v>
      </c>
      <c r="R229">
        <v>0.5</v>
      </c>
      <c r="S229">
        <v>3.6</v>
      </c>
      <c r="T229">
        <v>0.7</v>
      </c>
      <c r="U229">
        <v>0.62</v>
      </c>
      <c r="V229">
        <v>1.32</v>
      </c>
      <c r="W229">
        <v>4.84</v>
      </c>
      <c r="X229">
        <v>3</v>
      </c>
      <c r="Y229" t="s">
        <v>1000</v>
      </c>
      <c r="Z229">
        <v>208</v>
      </c>
      <c r="AA229">
        <v>131</v>
      </c>
      <c r="AB229">
        <v>156</v>
      </c>
      <c r="AC229">
        <v>67</v>
      </c>
      <c r="AD229">
        <v>291</v>
      </c>
      <c r="AE229">
        <v>134</v>
      </c>
      <c r="AF229">
        <v>607</v>
      </c>
      <c r="AG229">
        <v>242</v>
      </c>
      <c r="AH229">
        <f>fpl_player_statistics_cleaned[[#This Row],[Total Points]] / fpl_player_statistics_cleaned[[#This Row],[Now Cost]]</f>
        <v>3.5849056603773586</v>
      </c>
      <c r="AI229">
        <f>fpl_player_statistics_cleaned[[#This Row],[Goals Scored]] + fpl_player_statistics_cleaned[[#This Row],[Assists]]</f>
        <v>1</v>
      </c>
      <c r="AJ229">
        <f>fpl_player_statistics_cleaned[[#This Row],[Total Points]] / fpl_player_statistics_cleaned[[#This Row],[Starts]]</f>
        <v>6.333333333333333</v>
      </c>
      <c r="AK229">
        <f>((fpl_player_statistics_cleaned[[#This Row],[Points Per Game]]) * fpl_player_statistics_cleaned[[#This Row],[Form]]) / fpl_player_statistics_cleaned[[#This Row],[Now Cost]]</f>
        <v>0.89622641509433965</v>
      </c>
      <c r="AL229">
        <f>fpl_player_statistics_cleaned[[#This Row],[Minutes]] / fpl_player_statistics_cleaned[[#This Row],[Total Points]]</f>
        <v>19.789473684210527</v>
      </c>
      <c r="AM22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17.028301886792452</v>
      </c>
    </row>
    <row r="230" spans="1:39" x14ac:dyDescent="0.2">
      <c r="A230" t="s">
        <v>936</v>
      </c>
      <c r="B230" t="s">
        <v>122</v>
      </c>
      <c r="C230" t="s">
        <v>41</v>
      </c>
      <c r="D230">
        <v>4.9000000000000004</v>
      </c>
      <c r="E230">
        <v>18</v>
      </c>
      <c r="F230">
        <v>2.2000000000000002</v>
      </c>
      <c r="G230">
        <v>0.1</v>
      </c>
      <c r="H230">
        <v>1</v>
      </c>
      <c r="I230">
        <v>0</v>
      </c>
      <c r="J230">
        <v>500</v>
      </c>
      <c r="K230">
        <v>0</v>
      </c>
      <c r="L230">
        <v>10</v>
      </c>
      <c r="M230">
        <v>0</v>
      </c>
      <c r="N230">
        <v>0</v>
      </c>
      <c r="O230">
        <v>20.100000000000001</v>
      </c>
      <c r="P230">
        <v>1.8</v>
      </c>
      <c r="Q230">
        <v>0</v>
      </c>
      <c r="R230">
        <v>0.4</v>
      </c>
      <c r="S230">
        <v>3.7</v>
      </c>
      <c r="T230">
        <v>0.63</v>
      </c>
      <c r="U230">
        <v>0.12</v>
      </c>
      <c r="V230">
        <v>0.75</v>
      </c>
      <c r="W230">
        <v>7.83</v>
      </c>
      <c r="X230">
        <v>6</v>
      </c>
      <c r="Y230" t="s">
        <v>1000</v>
      </c>
      <c r="Z230">
        <v>306</v>
      </c>
      <c r="AA230">
        <v>193</v>
      </c>
      <c r="AB230">
        <v>207</v>
      </c>
      <c r="AC230">
        <v>103</v>
      </c>
      <c r="AD230">
        <v>239</v>
      </c>
      <c r="AE230">
        <v>107</v>
      </c>
      <c r="AF230">
        <v>551</v>
      </c>
      <c r="AG230">
        <v>205</v>
      </c>
      <c r="AH230">
        <f>fpl_player_statistics_cleaned[[#This Row],[Total Points]] / fpl_player_statistics_cleaned[[#This Row],[Now Cost]]</f>
        <v>3.6734693877551017</v>
      </c>
      <c r="AI230">
        <f>fpl_player_statistics_cleaned[[#This Row],[Goals Scored]] + fpl_player_statistics_cleaned[[#This Row],[Assists]]</f>
        <v>1</v>
      </c>
      <c r="AJ230">
        <f>fpl_player_statistics_cleaned[[#This Row],[Total Points]] / fpl_player_statistics_cleaned[[#This Row],[Starts]]</f>
        <v>3</v>
      </c>
      <c r="AK230">
        <f>((fpl_player_statistics_cleaned[[#This Row],[Points Per Game]]) * fpl_player_statistics_cleaned[[#This Row],[Form]]) / fpl_player_statistics_cleaned[[#This Row],[Now Cost]]</f>
        <v>0.80816326530612248</v>
      </c>
      <c r="AL230">
        <f>fpl_player_statistics_cleaned[[#This Row],[Minutes]] / fpl_player_statistics_cleaned[[#This Row],[Total Points]]</f>
        <v>27.777777777777779</v>
      </c>
      <c r="AM23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14.546938775510204</v>
      </c>
    </row>
    <row r="231" spans="1:39" x14ac:dyDescent="0.2">
      <c r="A231" t="s">
        <v>265</v>
      </c>
      <c r="B231" t="s">
        <v>34</v>
      </c>
      <c r="C231" t="s">
        <v>41</v>
      </c>
      <c r="D231">
        <v>5.3</v>
      </c>
      <c r="E231">
        <v>18</v>
      </c>
      <c r="F231">
        <v>2.2000000000000002</v>
      </c>
      <c r="G231">
        <v>0.3</v>
      </c>
      <c r="H231">
        <v>0</v>
      </c>
      <c r="I231">
        <v>1</v>
      </c>
      <c r="J231">
        <v>451</v>
      </c>
      <c r="K231">
        <v>2</v>
      </c>
      <c r="L231">
        <v>5</v>
      </c>
      <c r="M231">
        <v>0</v>
      </c>
      <c r="N231">
        <v>0</v>
      </c>
      <c r="O231">
        <v>28.2</v>
      </c>
      <c r="P231">
        <v>0.8</v>
      </c>
      <c r="Q231">
        <v>0</v>
      </c>
      <c r="R231">
        <v>0.2</v>
      </c>
      <c r="S231">
        <v>3.4</v>
      </c>
      <c r="T231">
        <v>0.37</v>
      </c>
      <c r="U231">
        <v>0.9</v>
      </c>
      <c r="V231">
        <v>1.27</v>
      </c>
      <c r="W231">
        <v>5.0999999999999996</v>
      </c>
      <c r="X231">
        <v>5</v>
      </c>
      <c r="Y231" t="s">
        <v>1000</v>
      </c>
      <c r="Z231">
        <v>204</v>
      </c>
      <c r="AA231">
        <v>128</v>
      </c>
      <c r="AB231">
        <v>296</v>
      </c>
      <c r="AC231">
        <v>145</v>
      </c>
      <c r="AD231">
        <v>245</v>
      </c>
      <c r="AE231">
        <v>112</v>
      </c>
      <c r="AF231">
        <v>327</v>
      </c>
      <c r="AG231">
        <v>113</v>
      </c>
      <c r="AH231">
        <f>fpl_player_statistics_cleaned[[#This Row],[Total Points]] / fpl_player_statistics_cleaned[[#This Row],[Now Cost]]</f>
        <v>3.3962264150943398</v>
      </c>
      <c r="AI231">
        <f>fpl_player_statistics_cleaned[[#This Row],[Goals Scored]] + fpl_player_statistics_cleaned[[#This Row],[Assists]]</f>
        <v>1</v>
      </c>
      <c r="AJ231">
        <f>fpl_player_statistics_cleaned[[#This Row],[Total Points]] / fpl_player_statistics_cleaned[[#This Row],[Starts]]</f>
        <v>3.6</v>
      </c>
      <c r="AK231">
        <f>((fpl_player_statistics_cleaned[[#This Row],[Points Per Game]]) * fpl_player_statistics_cleaned[[#This Row],[Form]]) / fpl_player_statistics_cleaned[[#This Row],[Now Cost]]</f>
        <v>0.33207547169811324</v>
      </c>
      <c r="AL231">
        <f>fpl_player_statistics_cleaned[[#This Row],[Minutes]] / fpl_player_statistics_cleaned[[#This Row],[Total Points]]</f>
        <v>25.055555555555557</v>
      </c>
      <c r="AM23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5.9773584905660391</v>
      </c>
    </row>
    <row r="232" spans="1:39" hidden="1" x14ac:dyDescent="0.2">
      <c r="A232" t="s">
        <v>266</v>
      </c>
      <c r="B232" t="s">
        <v>72</v>
      </c>
      <c r="C232" t="s">
        <v>35</v>
      </c>
      <c r="D232">
        <v>5.5</v>
      </c>
      <c r="E232">
        <v>18</v>
      </c>
      <c r="F232">
        <v>1.8</v>
      </c>
      <c r="G232">
        <v>0.3</v>
      </c>
      <c r="H232">
        <v>1</v>
      </c>
      <c r="I232">
        <v>1</v>
      </c>
      <c r="J232">
        <v>213</v>
      </c>
      <c r="K232">
        <v>1</v>
      </c>
      <c r="L232">
        <v>4</v>
      </c>
      <c r="M232">
        <v>0</v>
      </c>
      <c r="N232">
        <v>0</v>
      </c>
      <c r="O232">
        <v>12.1</v>
      </c>
      <c r="P232">
        <v>1.5</v>
      </c>
      <c r="Q232">
        <v>0</v>
      </c>
      <c r="R232">
        <v>0.3</v>
      </c>
      <c r="S232">
        <v>3.3</v>
      </c>
      <c r="T232">
        <v>0.64</v>
      </c>
      <c r="U232">
        <v>0.03</v>
      </c>
      <c r="V232">
        <v>0.67</v>
      </c>
      <c r="W232">
        <v>3.27</v>
      </c>
      <c r="X232">
        <v>1</v>
      </c>
      <c r="Y232" t="s">
        <v>267</v>
      </c>
      <c r="Z232">
        <v>151</v>
      </c>
      <c r="AA232">
        <v>38</v>
      </c>
      <c r="AB232">
        <v>231</v>
      </c>
      <c r="AC232">
        <v>25</v>
      </c>
      <c r="AD232">
        <v>302</v>
      </c>
      <c r="AE232">
        <v>30</v>
      </c>
      <c r="AF232">
        <v>318</v>
      </c>
      <c r="AG232">
        <v>52</v>
      </c>
      <c r="AI232">
        <v>3.7209302325581395</v>
      </c>
    </row>
    <row r="233" spans="1:39" x14ac:dyDescent="0.2">
      <c r="A233" t="s">
        <v>268</v>
      </c>
      <c r="B233" t="s">
        <v>40</v>
      </c>
      <c r="C233" t="s">
        <v>41</v>
      </c>
      <c r="D233">
        <v>7</v>
      </c>
      <c r="E233">
        <v>18</v>
      </c>
      <c r="F233">
        <v>1.8</v>
      </c>
      <c r="G233">
        <v>1</v>
      </c>
      <c r="H233">
        <v>1</v>
      </c>
      <c r="I233">
        <v>0</v>
      </c>
      <c r="J233">
        <v>392</v>
      </c>
      <c r="K233">
        <v>1</v>
      </c>
      <c r="L233">
        <v>7</v>
      </c>
      <c r="M233">
        <v>0</v>
      </c>
      <c r="N233">
        <v>1</v>
      </c>
      <c r="O233">
        <v>23.2</v>
      </c>
      <c r="P233">
        <v>1.5</v>
      </c>
      <c r="Q233">
        <v>0</v>
      </c>
      <c r="R233">
        <v>0.2</v>
      </c>
      <c r="S233">
        <v>2.6</v>
      </c>
      <c r="T233">
        <v>0.45</v>
      </c>
      <c r="U233">
        <v>0.7</v>
      </c>
      <c r="V233">
        <v>1.1499999999999999</v>
      </c>
      <c r="W233">
        <v>6.02</v>
      </c>
      <c r="X233">
        <v>4</v>
      </c>
      <c r="Y233" t="s">
        <v>1000</v>
      </c>
      <c r="Z233">
        <v>34</v>
      </c>
      <c r="AA233">
        <v>20</v>
      </c>
      <c r="AB233">
        <v>238</v>
      </c>
      <c r="AC233">
        <v>117</v>
      </c>
      <c r="AD233">
        <v>305</v>
      </c>
      <c r="AE233">
        <v>141</v>
      </c>
      <c r="AF233">
        <v>177</v>
      </c>
      <c r="AG233">
        <v>62</v>
      </c>
      <c r="AH233">
        <f>fpl_player_statistics_cleaned[[#This Row],[Total Points]] / fpl_player_statistics_cleaned[[#This Row],[Now Cost]]</f>
        <v>2.5714285714285716</v>
      </c>
      <c r="AI233">
        <f>fpl_player_statistics_cleaned[[#This Row],[Goals Scored]] + fpl_player_statistics_cleaned[[#This Row],[Assists]]</f>
        <v>1</v>
      </c>
      <c r="AJ233">
        <f>fpl_player_statistics_cleaned[[#This Row],[Total Points]] / fpl_player_statistics_cleaned[[#This Row],[Starts]]</f>
        <v>4.5</v>
      </c>
      <c r="AK233">
        <f>((fpl_player_statistics_cleaned[[#This Row],[Points Per Game]]) * fpl_player_statistics_cleaned[[#This Row],[Form]]) / fpl_player_statistics_cleaned[[#This Row],[Now Cost]]</f>
        <v>0.38571428571428573</v>
      </c>
      <c r="AL233">
        <f>fpl_player_statistics_cleaned[[#This Row],[Minutes]] / fpl_player_statistics_cleaned[[#This Row],[Total Points]]</f>
        <v>21.777777777777779</v>
      </c>
      <c r="AM23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6.9428571428571431</v>
      </c>
    </row>
    <row r="234" spans="1:39" x14ac:dyDescent="0.2">
      <c r="A234" t="s">
        <v>269</v>
      </c>
      <c r="B234" t="s">
        <v>54</v>
      </c>
      <c r="C234" t="s">
        <v>38</v>
      </c>
      <c r="D234">
        <v>4</v>
      </c>
      <c r="E234">
        <v>18</v>
      </c>
      <c r="F234">
        <v>2.2000000000000002</v>
      </c>
      <c r="G234">
        <v>4.3</v>
      </c>
      <c r="H234">
        <v>0</v>
      </c>
      <c r="I234">
        <v>0</v>
      </c>
      <c r="J234">
        <v>662</v>
      </c>
      <c r="K234">
        <v>2</v>
      </c>
      <c r="L234">
        <v>8</v>
      </c>
      <c r="M234">
        <v>0</v>
      </c>
      <c r="N234">
        <v>0</v>
      </c>
      <c r="O234">
        <v>15.4</v>
      </c>
      <c r="P234">
        <v>1</v>
      </c>
      <c r="Q234">
        <v>0</v>
      </c>
      <c r="R234">
        <v>0.2</v>
      </c>
      <c r="S234">
        <v>4.5</v>
      </c>
      <c r="T234">
        <v>7.0000000000000007E-2</v>
      </c>
      <c r="U234">
        <v>0.06</v>
      </c>
      <c r="V234">
        <v>0.13</v>
      </c>
      <c r="W234">
        <v>8.4499999999999993</v>
      </c>
      <c r="X234">
        <v>8</v>
      </c>
      <c r="Y234" t="s">
        <v>1000</v>
      </c>
      <c r="Z234">
        <v>644</v>
      </c>
      <c r="AA234">
        <v>170</v>
      </c>
      <c r="AB234">
        <v>261</v>
      </c>
      <c r="AC234">
        <v>88</v>
      </c>
      <c r="AD234">
        <v>233</v>
      </c>
      <c r="AE234">
        <v>83</v>
      </c>
      <c r="AF234">
        <v>84</v>
      </c>
      <c r="AG234">
        <v>28</v>
      </c>
      <c r="AH234">
        <f>fpl_player_statistics_cleaned[[#This Row],[Total Points]] / fpl_player_statistics_cleaned[[#This Row],[Now Cost]]</f>
        <v>4.5</v>
      </c>
      <c r="AI234">
        <f>fpl_player_statistics_cleaned[[#This Row],[Goals Scored]] + fpl_player_statistics_cleaned[[#This Row],[Assists]]</f>
        <v>0</v>
      </c>
      <c r="AJ234">
        <f>fpl_player_statistics_cleaned[[#This Row],[Total Points]] / fpl_player_statistics_cleaned[[#This Row],[Starts]]</f>
        <v>2.25</v>
      </c>
      <c r="AK234">
        <f>((fpl_player_statistics_cleaned[[#This Row],[Points Per Game]]) * fpl_player_statistics_cleaned[[#This Row],[Form]]) / fpl_player_statistics_cleaned[[#This Row],[Now Cost]]</f>
        <v>0.55000000000000004</v>
      </c>
      <c r="AL234">
        <f>fpl_player_statistics_cleaned[[#This Row],[Minutes]] / fpl_player_statistics_cleaned[[#This Row],[Total Points]]</f>
        <v>36.777777777777779</v>
      </c>
      <c r="AM23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9.9</v>
      </c>
    </row>
    <row r="235" spans="1:39" x14ac:dyDescent="0.2">
      <c r="A235" t="s">
        <v>270</v>
      </c>
      <c r="B235" t="s">
        <v>57</v>
      </c>
      <c r="C235" t="s">
        <v>41</v>
      </c>
      <c r="D235">
        <v>4.9000000000000004</v>
      </c>
      <c r="E235">
        <v>18</v>
      </c>
      <c r="F235">
        <v>2.2000000000000002</v>
      </c>
      <c r="G235">
        <v>0</v>
      </c>
      <c r="H235">
        <v>0</v>
      </c>
      <c r="I235">
        <v>2</v>
      </c>
      <c r="J235">
        <v>337</v>
      </c>
      <c r="K235">
        <v>4</v>
      </c>
      <c r="L235">
        <v>1</v>
      </c>
      <c r="M235">
        <v>0</v>
      </c>
      <c r="N235">
        <v>0</v>
      </c>
      <c r="O235">
        <v>10.1</v>
      </c>
      <c r="P235">
        <v>1.8</v>
      </c>
      <c r="Q235">
        <v>0</v>
      </c>
      <c r="R235">
        <v>0.4</v>
      </c>
      <c r="S235">
        <v>3.7</v>
      </c>
      <c r="T235">
        <v>0.15</v>
      </c>
      <c r="U235">
        <v>0.03</v>
      </c>
      <c r="V235">
        <v>0.18</v>
      </c>
      <c r="W235">
        <v>5.19</v>
      </c>
      <c r="X235">
        <v>4</v>
      </c>
      <c r="Y235" t="s">
        <v>1000</v>
      </c>
      <c r="Z235">
        <v>335</v>
      </c>
      <c r="AA235">
        <v>211</v>
      </c>
      <c r="AB235">
        <v>210</v>
      </c>
      <c r="AC235">
        <v>105</v>
      </c>
      <c r="AD235">
        <v>242</v>
      </c>
      <c r="AE235">
        <v>110</v>
      </c>
      <c r="AF235">
        <v>620</v>
      </c>
      <c r="AG235">
        <v>249</v>
      </c>
      <c r="AH235">
        <f>fpl_player_statistics_cleaned[[#This Row],[Total Points]] / fpl_player_statistics_cleaned[[#This Row],[Now Cost]]</f>
        <v>3.6734693877551017</v>
      </c>
      <c r="AI235">
        <f>fpl_player_statistics_cleaned[[#This Row],[Goals Scored]] + fpl_player_statistics_cleaned[[#This Row],[Assists]]</f>
        <v>2</v>
      </c>
      <c r="AJ235">
        <f>fpl_player_statistics_cleaned[[#This Row],[Total Points]] / fpl_player_statistics_cleaned[[#This Row],[Starts]]</f>
        <v>4.5</v>
      </c>
      <c r="AK235">
        <f>((fpl_player_statistics_cleaned[[#This Row],[Points Per Game]]) * fpl_player_statistics_cleaned[[#This Row],[Form]]) / fpl_player_statistics_cleaned[[#This Row],[Now Cost]]</f>
        <v>0.80816326530612248</v>
      </c>
      <c r="AL235">
        <f>fpl_player_statistics_cleaned[[#This Row],[Minutes]] / fpl_player_statistics_cleaned[[#This Row],[Total Points]]</f>
        <v>18.722222222222221</v>
      </c>
      <c r="AM23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14.546938775510204</v>
      </c>
    </row>
    <row r="236" spans="1:39" hidden="1" x14ac:dyDescent="0.2">
      <c r="A236" t="s">
        <v>271</v>
      </c>
      <c r="B236" t="s">
        <v>92</v>
      </c>
      <c r="C236" t="s">
        <v>35</v>
      </c>
      <c r="D236">
        <v>5.4</v>
      </c>
      <c r="E236">
        <v>17</v>
      </c>
      <c r="F236">
        <v>2.4</v>
      </c>
      <c r="G236">
        <v>1</v>
      </c>
      <c r="H236">
        <v>1</v>
      </c>
      <c r="I236">
        <v>1</v>
      </c>
      <c r="J236">
        <v>348</v>
      </c>
      <c r="K236">
        <v>1</v>
      </c>
      <c r="L236">
        <v>4</v>
      </c>
      <c r="M236">
        <v>0</v>
      </c>
      <c r="N236">
        <v>3</v>
      </c>
      <c r="O236">
        <v>22.2</v>
      </c>
      <c r="P236">
        <v>0.5</v>
      </c>
      <c r="Q236">
        <v>0</v>
      </c>
      <c r="R236">
        <v>0.1</v>
      </c>
      <c r="S236">
        <v>3.1</v>
      </c>
      <c r="T236">
        <v>0.94</v>
      </c>
      <c r="U236">
        <v>0.01</v>
      </c>
      <c r="V236">
        <v>0.95</v>
      </c>
      <c r="W236">
        <v>5.66</v>
      </c>
      <c r="X236">
        <v>4</v>
      </c>
      <c r="Y236" t="s">
        <v>165</v>
      </c>
      <c r="Z236">
        <v>169</v>
      </c>
      <c r="AA236">
        <v>42</v>
      </c>
      <c r="AB236">
        <v>332</v>
      </c>
      <c r="AC236">
        <v>38</v>
      </c>
      <c r="AD236">
        <v>221</v>
      </c>
      <c r="AE236">
        <v>23</v>
      </c>
      <c r="AF236">
        <v>179</v>
      </c>
      <c r="AG236">
        <v>26</v>
      </c>
      <c r="AI236">
        <v>3.3333333333333335</v>
      </c>
    </row>
    <row r="237" spans="1:39" x14ac:dyDescent="0.2">
      <c r="A237" t="s">
        <v>937</v>
      </c>
      <c r="B237" t="s">
        <v>153</v>
      </c>
      <c r="C237" t="s">
        <v>38</v>
      </c>
      <c r="D237">
        <v>4.5</v>
      </c>
      <c r="E237">
        <v>17</v>
      </c>
      <c r="F237">
        <v>2.1</v>
      </c>
      <c r="G237">
        <v>0.1</v>
      </c>
      <c r="H237">
        <v>1</v>
      </c>
      <c r="I237">
        <v>1</v>
      </c>
      <c r="J237">
        <v>720</v>
      </c>
      <c r="K237">
        <v>0</v>
      </c>
      <c r="L237">
        <v>17</v>
      </c>
      <c r="M237">
        <v>0</v>
      </c>
      <c r="N237">
        <v>0</v>
      </c>
      <c r="O237">
        <v>39.6</v>
      </c>
      <c r="P237">
        <v>1.2</v>
      </c>
      <c r="Q237">
        <v>0</v>
      </c>
      <c r="R237">
        <v>0.3</v>
      </c>
      <c r="S237">
        <v>3.8</v>
      </c>
      <c r="T237">
        <v>0.91</v>
      </c>
      <c r="U237">
        <v>1.01</v>
      </c>
      <c r="V237">
        <v>1.92</v>
      </c>
      <c r="W237">
        <v>10.83</v>
      </c>
      <c r="X237">
        <v>8</v>
      </c>
      <c r="Y237" t="s">
        <v>1000</v>
      </c>
      <c r="Z237">
        <v>419</v>
      </c>
      <c r="AA237">
        <v>87</v>
      </c>
      <c r="AB237">
        <v>245</v>
      </c>
      <c r="AC237">
        <v>80</v>
      </c>
      <c r="AD237">
        <v>258</v>
      </c>
      <c r="AE237">
        <v>91</v>
      </c>
      <c r="AF237">
        <v>553</v>
      </c>
      <c r="AG237">
        <v>197</v>
      </c>
      <c r="AH237">
        <f>fpl_player_statistics_cleaned[[#This Row],[Total Points]] / fpl_player_statistics_cleaned[[#This Row],[Now Cost]]</f>
        <v>3.7777777777777777</v>
      </c>
      <c r="AI237">
        <f>fpl_player_statistics_cleaned[[#This Row],[Goals Scored]] + fpl_player_statistics_cleaned[[#This Row],[Assists]]</f>
        <v>2</v>
      </c>
      <c r="AJ237">
        <f>fpl_player_statistics_cleaned[[#This Row],[Total Points]] / fpl_player_statistics_cleaned[[#This Row],[Starts]]</f>
        <v>2.125</v>
      </c>
      <c r="AK237">
        <f>((fpl_player_statistics_cleaned[[#This Row],[Points Per Game]]) * fpl_player_statistics_cleaned[[#This Row],[Form]]) / fpl_player_statistics_cleaned[[#This Row],[Now Cost]]</f>
        <v>0.56000000000000005</v>
      </c>
      <c r="AL237">
        <f>fpl_player_statistics_cleaned[[#This Row],[Minutes]] / fpl_player_statistics_cleaned[[#This Row],[Total Points]]</f>
        <v>42.352941176470587</v>
      </c>
      <c r="AM23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9.52</v>
      </c>
    </row>
    <row r="238" spans="1:39" hidden="1" x14ac:dyDescent="0.2">
      <c r="A238" t="s">
        <v>272</v>
      </c>
      <c r="B238" t="s">
        <v>97</v>
      </c>
      <c r="C238" t="s">
        <v>38</v>
      </c>
      <c r="D238">
        <v>4.4000000000000004</v>
      </c>
      <c r="E238">
        <v>17</v>
      </c>
      <c r="F238">
        <v>2.8</v>
      </c>
      <c r="G238">
        <v>0</v>
      </c>
      <c r="H238">
        <v>0</v>
      </c>
      <c r="I238">
        <v>0</v>
      </c>
      <c r="J238">
        <v>495</v>
      </c>
      <c r="K238">
        <v>1</v>
      </c>
      <c r="L238">
        <v>9</v>
      </c>
      <c r="M238">
        <v>0</v>
      </c>
      <c r="N238">
        <v>0</v>
      </c>
      <c r="O238">
        <v>18.600000000000001</v>
      </c>
      <c r="P238">
        <v>0.2</v>
      </c>
      <c r="Q238">
        <v>0</v>
      </c>
      <c r="R238">
        <v>0</v>
      </c>
      <c r="S238">
        <v>3.9</v>
      </c>
      <c r="T238">
        <v>0.42</v>
      </c>
      <c r="U238">
        <v>0.05</v>
      </c>
      <c r="V238">
        <v>0.47</v>
      </c>
      <c r="W238">
        <v>8.33</v>
      </c>
      <c r="X238">
        <v>5</v>
      </c>
      <c r="Y238" t="s">
        <v>255</v>
      </c>
      <c r="Z238">
        <v>512</v>
      </c>
      <c r="AA238">
        <v>120</v>
      </c>
      <c r="AB238">
        <v>353</v>
      </c>
      <c r="AC238">
        <v>123</v>
      </c>
      <c r="AD238">
        <v>179</v>
      </c>
      <c r="AE238">
        <v>66</v>
      </c>
      <c r="AF238">
        <v>569</v>
      </c>
      <c r="AG238">
        <v>206</v>
      </c>
      <c r="AI238">
        <v>3.4883720930232558</v>
      </c>
    </row>
    <row r="239" spans="1:39" x14ac:dyDescent="0.2">
      <c r="A239" t="s">
        <v>273</v>
      </c>
      <c r="B239" t="s">
        <v>57</v>
      </c>
      <c r="C239" t="s">
        <v>38</v>
      </c>
      <c r="D239">
        <v>4.9000000000000004</v>
      </c>
      <c r="E239">
        <v>17</v>
      </c>
      <c r="F239">
        <v>2.1</v>
      </c>
      <c r="G239">
        <v>0.4</v>
      </c>
      <c r="H239">
        <v>0</v>
      </c>
      <c r="I239">
        <v>0</v>
      </c>
      <c r="J239">
        <v>715</v>
      </c>
      <c r="K239">
        <v>1</v>
      </c>
      <c r="L239">
        <v>12</v>
      </c>
      <c r="M239">
        <v>0</v>
      </c>
      <c r="N239">
        <v>0</v>
      </c>
      <c r="O239">
        <v>21</v>
      </c>
      <c r="P239">
        <v>2.5</v>
      </c>
      <c r="Q239">
        <v>0</v>
      </c>
      <c r="R239">
        <v>0.5</v>
      </c>
      <c r="S239">
        <v>3.5</v>
      </c>
      <c r="T239">
        <v>0.05</v>
      </c>
      <c r="U239">
        <v>0.7</v>
      </c>
      <c r="V239">
        <v>0.75</v>
      </c>
      <c r="W239">
        <v>10.79</v>
      </c>
      <c r="X239">
        <v>8</v>
      </c>
      <c r="Y239" t="s">
        <v>1000</v>
      </c>
      <c r="Z239">
        <v>310</v>
      </c>
      <c r="AA239">
        <v>49</v>
      </c>
      <c r="AB239">
        <v>153</v>
      </c>
      <c r="AC239">
        <v>58</v>
      </c>
      <c r="AD239">
        <v>262</v>
      </c>
      <c r="AE239">
        <v>92</v>
      </c>
      <c r="AF239">
        <v>282</v>
      </c>
      <c r="AG239">
        <v>103</v>
      </c>
      <c r="AH239">
        <f>fpl_player_statistics_cleaned[[#This Row],[Total Points]] / fpl_player_statistics_cleaned[[#This Row],[Now Cost]]</f>
        <v>3.4693877551020407</v>
      </c>
      <c r="AI239">
        <f>fpl_player_statistics_cleaned[[#This Row],[Goals Scored]] + fpl_player_statistics_cleaned[[#This Row],[Assists]]</f>
        <v>0</v>
      </c>
      <c r="AJ239">
        <f>fpl_player_statistics_cleaned[[#This Row],[Total Points]] / fpl_player_statistics_cleaned[[#This Row],[Starts]]</f>
        <v>2.125</v>
      </c>
      <c r="AK239">
        <f>((fpl_player_statistics_cleaned[[#This Row],[Points Per Game]]) * fpl_player_statistics_cleaned[[#This Row],[Form]]) / fpl_player_statistics_cleaned[[#This Row],[Now Cost]]</f>
        <v>1.0714285714285714</v>
      </c>
      <c r="AL239">
        <f>fpl_player_statistics_cleaned[[#This Row],[Minutes]] / fpl_player_statistics_cleaned[[#This Row],[Total Points]]</f>
        <v>42.058823529411768</v>
      </c>
      <c r="AM23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18.214285714285715</v>
      </c>
    </row>
    <row r="240" spans="1:39" x14ac:dyDescent="0.2">
      <c r="A240" t="s">
        <v>274</v>
      </c>
      <c r="B240" t="s">
        <v>40</v>
      </c>
      <c r="C240" t="s">
        <v>38</v>
      </c>
      <c r="D240">
        <v>4</v>
      </c>
      <c r="E240">
        <v>17</v>
      </c>
      <c r="F240">
        <v>2.4</v>
      </c>
      <c r="G240">
        <v>0.8</v>
      </c>
      <c r="H240">
        <v>0</v>
      </c>
      <c r="I240">
        <v>0</v>
      </c>
      <c r="J240">
        <v>273</v>
      </c>
      <c r="K240">
        <v>2</v>
      </c>
      <c r="L240">
        <v>3</v>
      </c>
      <c r="M240">
        <v>0</v>
      </c>
      <c r="N240">
        <v>0</v>
      </c>
      <c r="O240">
        <v>9.1</v>
      </c>
      <c r="P240">
        <v>0.2</v>
      </c>
      <c r="Q240">
        <v>0</v>
      </c>
      <c r="R240">
        <v>0</v>
      </c>
      <c r="S240">
        <v>4.2</v>
      </c>
      <c r="T240">
        <v>0.12</v>
      </c>
      <c r="U240">
        <v>0.19</v>
      </c>
      <c r="V240">
        <v>0.31</v>
      </c>
      <c r="W240">
        <v>3.13</v>
      </c>
      <c r="X240">
        <v>2</v>
      </c>
      <c r="Y240" t="s">
        <v>1000</v>
      </c>
      <c r="Z240">
        <v>654</v>
      </c>
      <c r="AA240">
        <v>176</v>
      </c>
      <c r="AB240">
        <v>343</v>
      </c>
      <c r="AC240">
        <v>115</v>
      </c>
      <c r="AD240">
        <v>217</v>
      </c>
      <c r="AE240">
        <v>78</v>
      </c>
      <c r="AF240">
        <v>192</v>
      </c>
      <c r="AG240">
        <v>71</v>
      </c>
      <c r="AH240">
        <f>fpl_player_statistics_cleaned[[#This Row],[Total Points]] / fpl_player_statistics_cleaned[[#This Row],[Now Cost]]</f>
        <v>4.25</v>
      </c>
      <c r="AI240">
        <f>fpl_player_statistics_cleaned[[#This Row],[Goals Scored]] + fpl_player_statistics_cleaned[[#This Row],[Assists]]</f>
        <v>0</v>
      </c>
      <c r="AJ240">
        <f>fpl_player_statistics_cleaned[[#This Row],[Total Points]] / fpl_player_statistics_cleaned[[#This Row],[Starts]]</f>
        <v>8.5</v>
      </c>
      <c r="AK240">
        <f>((fpl_player_statistics_cleaned[[#This Row],[Points Per Game]]) * fpl_player_statistics_cleaned[[#This Row],[Form]]) / fpl_player_statistics_cleaned[[#This Row],[Now Cost]]</f>
        <v>0.12</v>
      </c>
      <c r="AL240">
        <f>fpl_player_statistics_cleaned[[#This Row],[Minutes]] / fpl_player_statistics_cleaned[[#This Row],[Total Points]]</f>
        <v>16.058823529411764</v>
      </c>
      <c r="AM24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2.04</v>
      </c>
    </row>
    <row r="241" spans="1:39" x14ac:dyDescent="0.2">
      <c r="A241" t="s">
        <v>275</v>
      </c>
      <c r="B241" t="s">
        <v>100</v>
      </c>
      <c r="C241" t="s">
        <v>55</v>
      </c>
      <c r="D241">
        <v>4.5</v>
      </c>
      <c r="E241">
        <v>17</v>
      </c>
      <c r="F241">
        <v>2.8</v>
      </c>
      <c r="G241">
        <v>0.2</v>
      </c>
      <c r="H241">
        <v>0</v>
      </c>
      <c r="I241">
        <v>0</v>
      </c>
      <c r="J241">
        <v>540</v>
      </c>
      <c r="K241">
        <v>2</v>
      </c>
      <c r="L241">
        <v>12</v>
      </c>
      <c r="M241">
        <v>12</v>
      </c>
      <c r="N241">
        <v>0</v>
      </c>
      <c r="O241">
        <v>10.9</v>
      </c>
      <c r="P241">
        <v>1.2</v>
      </c>
      <c r="Q241">
        <v>0</v>
      </c>
      <c r="R241">
        <v>0.3</v>
      </c>
      <c r="S241">
        <v>3.8</v>
      </c>
      <c r="T241">
        <v>0</v>
      </c>
      <c r="U241">
        <v>0</v>
      </c>
      <c r="V241">
        <v>0</v>
      </c>
      <c r="W241">
        <v>10.16</v>
      </c>
      <c r="X241">
        <v>6</v>
      </c>
      <c r="Y241" t="s">
        <v>1000</v>
      </c>
      <c r="Z241">
        <v>405</v>
      </c>
      <c r="AA241">
        <v>24</v>
      </c>
      <c r="AB241">
        <v>243</v>
      </c>
      <c r="AC241">
        <v>20</v>
      </c>
      <c r="AD241">
        <v>180</v>
      </c>
      <c r="AE241">
        <v>19</v>
      </c>
      <c r="AF241">
        <v>336</v>
      </c>
      <c r="AG241">
        <v>48</v>
      </c>
      <c r="AH241">
        <f>fpl_player_statistics_cleaned[[#This Row],[Total Points]] / fpl_player_statistics_cleaned[[#This Row],[Now Cost]]</f>
        <v>3.7777777777777777</v>
      </c>
      <c r="AI241">
        <f>fpl_player_statistics_cleaned[[#This Row],[Goals Scored]] + fpl_player_statistics_cleaned[[#This Row],[Assists]]</f>
        <v>0</v>
      </c>
      <c r="AJ241">
        <f>fpl_player_statistics_cleaned[[#This Row],[Total Points]] / fpl_player_statistics_cleaned[[#This Row],[Starts]]</f>
        <v>2.8333333333333335</v>
      </c>
      <c r="AK241">
        <f>((fpl_player_statistics_cleaned[[#This Row],[Points Per Game]]) * fpl_player_statistics_cleaned[[#This Row],[Form]]) / fpl_player_statistics_cleaned[[#This Row],[Now Cost]]</f>
        <v>0.74666666666666659</v>
      </c>
      <c r="AL241">
        <f>fpl_player_statistics_cleaned[[#This Row],[Minutes]] / fpl_player_statistics_cleaned[[#This Row],[Total Points]]</f>
        <v>31.764705882352942</v>
      </c>
      <c r="AM24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12.693333333333332</v>
      </c>
    </row>
    <row r="242" spans="1:39" x14ac:dyDescent="0.2">
      <c r="A242" t="s">
        <v>938</v>
      </c>
      <c r="B242" t="s">
        <v>34</v>
      </c>
      <c r="C242" t="s">
        <v>41</v>
      </c>
      <c r="D242">
        <v>6.9</v>
      </c>
      <c r="E242">
        <v>16</v>
      </c>
      <c r="F242">
        <v>2</v>
      </c>
      <c r="G242">
        <v>0.5</v>
      </c>
      <c r="H242">
        <v>0</v>
      </c>
      <c r="I242">
        <v>1</v>
      </c>
      <c r="J242">
        <v>388</v>
      </c>
      <c r="K242">
        <v>2</v>
      </c>
      <c r="L242">
        <v>3</v>
      </c>
      <c r="M242">
        <v>0</v>
      </c>
      <c r="N242">
        <v>0</v>
      </c>
      <c r="O242">
        <v>27.6</v>
      </c>
      <c r="P242">
        <v>2.2000000000000002</v>
      </c>
      <c r="Q242">
        <v>0</v>
      </c>
      <c r="R242">
        <v>0.3</v>
      </c>
      <c r="S242">
        <v>2.2999999999999998</v>
      </c>
      <c r="T242">
        <v>0.27</v>
      </c>
      <c r="U242">
        <v>0.68</v>
      </c>
      <c r="V242">
        <v>0.95</v>
      </c>
      <c r="W242">
        <v>4.9400000000000004</v>
      </c>
      <c r="X242">
        <v>4</v>
      </c>
      <c r="Y242" t="s">
        <v>1000</v>
      </c>
      <c r="Z242">
        <v>40</v>
      </c>
      <c r="AA242">
        <v>24</v>
      </c>
      <c r="AB242">
        <v>180</v>
      </c>
      <c r="AC242">
        <v>86</v>
      </c>
      <c r="AD242">
        <v>286</v>
      </c>
      <c r="AE242">
        <v>131</v>
      </c>
      <c r="AF242">
        <v>243</v>
      </c>
      <c r="AG242">
        <v>86</v>
      </c>
      <c r="AH242">
        <f>fpl_player_statistics_cleaned[[#This Row],[Total Points]] / fpl_player_statistics_cleaned[[#This Row],[Now Cost]]</f>
        <v>2.318840579710145</v>
      </c>
      <c r="AI242">
        <f>fpl_player_statistics_cleaned[[#This Row],[Goals Scored]] + fpl_player_statistics_cleaned[[#This Row],[Assists]]</f>
        <v>1</v>
      </c>
      <c r="AJ242">
        <f>fpl_player_statistics_cleaned[[#This Row],[Total Points]] / fpl_player_statistics_cleaned[[#This Row],[Starts]]</f>
        <v>4</v>
      </c>
      <c r="AK242">
        <f>((fpl_player_statistics_cleaned[[#This Row],[Points Per Game]]) * fpl_player_statistics_cleaned[[#This Row],[Form]]) / fpl_player_statistics_cleaned[[#This Row],[Now Cost]]</f>
        <v>0.63768115942028991</v>
      </c>
      <c r="AL242">
        <f>fpl_player_statistics_cleaned[[#This Row],[Minutes]] / fpl_player_statistics_cleaned[[#This Row],[Total Points]]</f>
        <v>24.25</v>
      </c>
      <c r="AM24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10.202898550724639</v>
      </c>
    </row>
    <row r="243" spans="1:39" x14ac:dyDescent="0.2">
      <c r="A243" t="s">
        <v>276</v>
      </c>
      <c r="B243" t="s">
        <v>40</v>
      </c>
      <c r="C243" t="s">
        <v>41</v>
      </c>
      <c r="D243">
        <v>5</v>
      </c>
      <c r="E243">
        <v>16</v>
      </c>
      <c r="F243">
        <v>1.8</v>
      </c>
      <c r="G243">
        <v>0.1</v>
      </c>
      <c r="H243">
        <v>1</v>
      </c>
      <c r="I243">
        <v>1</v>
      </c>
      <c r="J243">
        <v>226</v>
      </c>
      <c r="K243">
        <v>0</v>
      </c>
      <c r="L243">
        <v>6</v>
      </c>
      <c r="M243">
        <v>0</v>
      </c>
      <c r="N243">
        <v>0</v>
      </c>
      <c r="O243">
        <v>15.6</v>
      </c>
      <c r="P243">
        <v>2</v>
      </c>
      <c r="Q243">
        <v>0</v>
      </c>
      <c r="R243">
        <v>0.4</v>
      </c>
      <c r="S243">
        <v>3.2</v>
      </c>
      <c r="T243">
        <v>0.78</v>
      </c>
      <c r="U243">
        <v>7.0000000000000007E-2</v>
      </c>
      <c r="V243">
        <v>0.85</v>
      </c>
      <c r="W243">
        <v>5.68</v>
      </c>
      <c r="X243">
        <v>1</v>
      </c>
      <c r="Y243" t="s">
        <v>1000</v>
      </c>
      <c r="Z243">
        <v>244</v>
      </c>
      <c r="AA243">
        <v>152</v>
      </c>
      <c r="AB243">
        <v>188</v>
      </c>
      <c r="AC243">
        <v>90</v>
      </c>
      <c r="AD243">
        <v>298</v>
      </c>
      <c r="AE243">
        <v>137</v>
      </c>
      <c r="AF243">
        <v>502</v>
      </c>
      <c r="AG243">
        <v>176</v>
      </c>
      <c r="AH243">
        <f>fpl_player_statistics_cleaned[[#This Row],[Total Points]] / fpl_player_statistics_cleaned[[#This Row],[Now Cost]]</f>
        <v>3.2</v>
      </c>
      <c r="AI243">
        <f>fpl_player_statistics_cleaned[[#This Row],[Goals Scored]] + fpl_player_statistics_cleaned[[#This Row],[Assists]]</f>
        <v>2</v>
      </c>
      <c r="AJ243">
        <f>fpl_player_statistics_cleaned[[#This Row],[Total Points]] / fpl_player_statistics_cleaned[[#This Row],[Starts]]</f>
        <v>16</v>
      </c>
      <c r="AK243">
        <f>((fpl_player_statistics_cleaned[[#This Row],[Points Per Game]]) * fpl_player_statistics_cleaned[[#This Row],[Form]]) / fpl_player_statistics_cleaned[[#This Row],[Now Cost]]</f>
        <v>0.72</v>
      </c>
      <c r="AL243">
        <f>fpl_player_statistics_cleaned[[#This Row],[Minutes]] / fpl_player_statistics_cleaned[[#This Row],[Total Points]]</f>
        <v>14.125</v>
      </c>
      <c r="AM24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11.520000000000001</v>
      </c>
    </row>
    <row r="244" spans="1:39" x14ac:dyDescent="0.2">
      <c r="A244" t="s">
        <v>277</v>
      </c>
      <c r="B244" t="s">
        <v>54</v>
      </c>
      <c r="C244" t="s">
        <v>35</v>
      </c>
      <c r="D244">
        <v>5.4</v>
      </c>
      <c r="E244">
        <v>16</v>
      </c>
      <c r="F244">
        <v>2.2999999999999998</v>
      </c>
      <c r="G244">
        <v>0.7</v>
      </c>
      <c r="H244">
        <v>1</v>
      </c>
      <c r="I244">
        <v>0</v>
      </c>
      <c r="J244">
        <v>260</v>
      </c>
      <c r="K244">
        <v>2</v>
      </c>
      <c r="L244">
        <v>1</v>
      </c>
      <c r="M244">
        <v>0</v>
      </c>
      <c r="N244">
        <v>2</v>
      </c>
      <c r="O244">
        <v>12.3</v>
      </c>
      <c r="P244">
        <v>0.5</v>
      </c>
      <c r="Q244">
        <v>0</v>
      </c>
      <c r="R244">
        <v>0.1</v>
      </c>
      <c r="S244">
        <v>3</v>
      </c>
      <c r="T244">
        <v>0.47</v>
      </c>
      <c r="U244">
        <v>0.06</v>
      </c>
      <c r="V244">
        <v>0.53</v>
      </c>
      <c r="W244">
        <v>3.34</v>
      </c>
      <c r="X244">
        <v>3</v>
      </c>
      <c r="Y244" t="s">
        <v>1000</v>
      </c>
      <c r="Z244">
        <v>186</v>
      </c>
      <c r="AA244">
        <v>43</v>
      </c>
      <c r="AB244">
        <v>335</v>
      </c>
      <c r="AC244">
        <v>39</v>
      </c>
      <c r="AD244">
        <v>228</v>
      </c>
      <c r="AE244">
        <v>24</v>
      </c>
      <c r="AF244">
        <v>208</v>
      </c>
      <c r="AG244">
        <v>32</v>
      </c>
      <c r="AH244">
        <f>fpl_player_statistics_cleaned[[#This Row],[Total Points]] / fpl_player_statistics_cleaned[[#This Row],[Now Cost]]</f>
        <v>2.9629629629629628</v>
      </c>
      <c r="AI244">
        <f>fpl_player_statistics_cleaned[[#This Row],[Goals Scored]] + fpl_player_statistics_cleaned[[#This Row],[Assists]]</f>
        <v>1</v>
      </c>
      <c r="AJ244">
        <f>fpl_player_statistics_cleaned[[#This Row],[Total Points]] / fpl_player_statistics_cleaned[[#This Row],[Starts]]</f>
        <v>5.333333333333333</v>
      </c>
      <c r="AK244">
        <f>((fpl_player_statistics_cleaned[[#This Row],[Points Per Game]]) * fpl_player_statistics_cleaned[[#This Row],[Form]]) / fpl_player_statistics_cleaned[[#This Row],[Now Cost]]</f>
        <v>0.21296296296296294</v>
      </c>
      <c r="AL244">
        <f>fpl_player_statistics_cleaned[[#This Row],[Minutes]] / fpl_player_statistics_cleaned[[#This Row],[Total Points]]</f>
        <v>16.25</v>
      </c>
      <c r="AM24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3.407407407407407</v>
      </c>
    </row>
    <row r="245" spans="1:39" hidden="1" x14ac:dyDescent="0.2">
      <c r="A245" t="s">
        <v>278</v>
      </c>
      <c r="B245" t="s">
        <v>37</v>
      </c>
      <c r="C245" t="s">
        <v>41</v>
      </c>
      <c r="D245">
        <v>6.8</v>
      </c>
      <c r="E245">
        <v>16</v>
      </c>
      <c r="F245">
        <v>2</v>
      </c>
      <c r="G245">
        <v>0.9</v>
      </c>
      <c r="H245">
        <v>1</v>
      </c>
      <c r="I245">
        <v>0</v>
      </c>
      <c r="J245">
        <v>214</v>
      </c>
      <c r="K245">
        <v>1</v>
      </c>
      <c r="L245">
        <v>0</v>
      </c>
      <c r="M245">
        <v>0</v>
      </c>
      <c r="N245">
        <v>1</v>
      </c>
      <c r="O245">
        <v>17.5</v>
      </c>
      <c r="P245">
        <v>0.5</v>
      </c>
      <c r="Q245">
        <v>0</v>
      </c>
      <c r="R245">
        <v>0.1</v>
      </c>
      <c r="S245">
        <v>2.4</v>
      </c>
      <c r="T245">
        <v>0.75</v>
      </c>
      <c r="U245">
        <v>0.08</v>
      </c>
      <c r="V245">
        <v>0.83</v>
      </c>
      <c r="W245">
        <v>1.97</v>
      </c>
      <c r="X245">
        <v>2</v>
      </c>
      <c r="Y245" t="s">
        <v>145</v>
      </c>
      <c r="Z245">
        <v>45</v>
      </c>
      <c r="AA245">
        <v>29</v>
      </c>
      <c r="AB245">
        <v>338</v>
      </c>
      <c r="AC245">
        <v>166</v>
      </c>
      <c r="AD245">
        <v>285</v>
      </c>
      <c r="AE245">
        <v>130</v>
      </c>
      <c r="AF245">
        <v>190</v>
      </c>
      <c r="AG245">
        <v>64</v>
      </c>
      <c r="AI245">
        <v>2.916666666666667</v>
      </c>
    </row>
    <row r="246" spans="1:39" x14ac:dyDescent="0.2">
      <c r="A246" t="s">
        <v>279</v>
      </c>
      <c r="B246" t="s">
        <v>49</v>
      </c>
      <c r="C246" t="s">
        <v>55</v>
      </c>
      <c r="D246">
        <v>5</v>
      </c>
      <c r="E246">
        <v>16</v>
      </c>
      <c r="F246">
        <v>3.2</v>
      </c>
      <c r="G246">
        <v>1.4</v>
      </c>
      <c r="H246">
        <v>0</v>
      </c>
      <c r="I246">
        <v>0</v>
      </c>
      <c r="J246">
        <v>450</v>
      </c>
      <c r="K246">
        <v>1</v>
      </c>
      <c r="L246">
        <v>7</v>
      </c>
      <c r="M246">
        <v>14</v>
      </c>
      <c r="N246">
        <v>2</v>
      </c>
      <c r="O246">
        <v>11.1</v>
      </c>
      <c r="P246">
        <v>1.8</v>
      </c>
      <c r="Q246">
        <v>1</v>
      </c>
      <c r="R246">
        <v>0.4</v>
      </c>
      <c r="S246">
        <v>3.2</v>
      </c>
      <c r="T246">
        <v>0</v>
      </c>
      <c r="U246">
        <v>0</v>
      </c>
      <c r="V246">
        <v>0</v>
      </c>
      <c r="W246">
        <v>7.43</v>
      </c>
      <c r="X246">
        <v>5</v>
      </c>
      <c r="Y246" t="s">
        <v>1000</v>
      </c>
      <c r="Z246">
        <v>269</v>
      </c>
      <c r="AA246">
        <v>11</v>
      </c>
      <c r="AB246">
        <v>213</v>
      </c>
      <c r="AC246">
        <v>19</v>
      </c>
      <c r="AD246">
        <v>146</v>
      </c>
      <c r="AE246">
        <v>16</v>
      </c>
      <c r="AF246">
        <v>150</v>
      </c>
      <c r="AG246">
        <v>21</v>
      </c>
      <c r="AH246">
        <f>fpl_player_statistics_cleaned[[#This Row],[Total Points]] / fpl_player_statistics_cleaned[[#This Row],[Now Cost]]</f>
        <v>3.2</v>
      </c>
      <c r="AI246">
        <f>fpl_player_statistics_cleaned[[#This Row],[Goals Scored]] + fpl_player_statistics_cleaned[[#This Row],[Assists]]</f>
        <v>0</v>
      </c>
      <c r="AJ246">
        <f>fpl_player_statistics_cleaned[[#This Row],[Total Points]] / fpl_player_statistics_cleaned[[#This Row],[Starts]]</f>
        <v>3.2</v>
      </c>
      <c r="AK246">
        <f>((fpl_player_statistics_cleaned[[#This Row],[Points Per Game]]) * fpl_player_statistics_cleaned[[#This Row],[Form]]) / fpl_player_statistics_cleaned[[#This Row],[Now Cost]]</f>
        <v>1.1520000000000001</v>
      </c>
      <c r="AL246">
        <f>fpl_player_statistics_cleaned[[#This Row],[Minutes]] / fpl_player_statistics_cleaned[[#This Row],[Total Points]]</f>
        <v>28.125</v>
      </c>
      <c r="AM24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18.431999999999999</v>
      </c>
    </row>
    <row r="247" spans="1:39" x14ac:dyDescent="0.2">
      <c r="A247" t="s">
        <v>280</v>
      </c>
      <c r="B247" t="s">
        <v>153</v>
      </c>
      <c r="C247" t="s">
        <v>41</v>
      </c>
      <c r="D247">
        <v>5.8</v>
      </c>
      <c r="E247">
        <v>16</v>
      </c>
      <c r="F247">
        <v>2</v>
      </c>
      <c r="G247">
        <v>0.1</v>
      </c>
      <c r="H247">
        <v>1</v>
      </c>
      <c r="I247">
        <v>0</v>
      </c>
      <c r="J247">
        <v>366</v>
      </c>
      <c r="K247">
        <v>0</v>
      </c>
      <c r="L247">
        <v>7</v>
      </c>
      <c r="M247">
        <v>0</v>
      </c>
      <c r="N247">
        <v>0</v>
      </c>
      <c r="O247">
        <v>13.7</v>
      </c>
      <c r="P247">
        <v>0.8</v>
      </c>
      <c r="Q247">
        <v>0</v>
      </c>
      <c r="R247">
        <v>0.1</v>
      </c>
      <c r="S247">
        <v>2.8</v>
      </c>
      <c r="T247">
        <v>0.65</v>
      </c>
      <c r="U247">
        <v>0.14000000000000001</v>
      </c>
      <c r="V247">
        <v>0.79</v>
      </c>
      <c r="W247">
        <v>7.28</v>
      </c>
      <c r="X247">
        <v>5</v>
      </c>
      <c r="Y247" t="s">
        <v>1000</v>
      </c>
      <c r="Z247">
        <v>107</v>
      </c>
      <c r="AA247">
        <v>72</v>
      </c>
      <c r="AB247">
        <v>302</v>
      </c>
      <c r="AC247">
        <v>150</v>
      </c>
      <c r="AD247">
        <v>282</v>
      </c>
      <c r="AE247">
        <v>127</v>
      </c>
      <c r="AF247">
        <v>450</v>
      </c>
      <c r="AG247">
        <v>154</v>
      </c>
      <c r="AH247">
        <f>fpl_player_statistics_cleaned[[#This Row],[Total Points]] / fpl_player_statistics_cleaned[[#This Row],[Now Cost]]</f>
        <v>2.7586206896551726</v>
      </c>
      <c r="AI247">
        <f>fpl_player_statistics_cleaned[[#This Row],[Goals Scored]] + fpl_player_statistics_cleaned[[#This Row],[Assists]]</f>
        <v>1</v>
      </c>
      <c r="AJ247">
        <f>fpl_player_statistics_cleaned[[#This Row],[Total Points]] / fpl_player_statistics_cleaned[[#This Row],[Starts]]</f>
        <v>3.2</v>
      </c>
      <c r="AK247">
        <f>((fpl_player_statistics_cleaned[[#This Row],[Points Per Game]]) * fpl_player_statistics_cleaned[[#This Row],[Form]]) / fpl_player_statistics_cleaned[[#This Row],[Now Cost]]</f>
        <v>0.27586206896551724</v>
      </c>
      <c r="AL247">
        <f>fpl_player_statistics_cleaned[[#This Row],[Minutes]] / fpl_player_statistics_cleaned[[#This Row],[Total Points]]</f>
        <v>22.875</v>
      </c>
      <c r="AM24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4.4137931034482758</v>
      </c>
    </row>
    <row r="248" spans="1:39" x14ac:dyDescent="0.2">
      <c r="A248" t="s">
        <v>281</v>
      </c>
      <c r="B248" t="s">
        <v>92</v>
      </c>
      <c r="C248" t="s">
        <v>41</v>
      </c>
      <c r="D248">
        <v>5.6</v>
      </c>
      <c r="E248">
        <v>16</v>
      </c>
      <c r="F248">
        <v>1.5</v>
      </c>
      <c r="G248">
        <v>0.4</v>
      </c>
      <c r="H248">
        <v>1</v>
      </c>
      <c r="I248">
        <v>0</v>
      </c>
      <c r="J248">
        <v>216</v>
      </c>
      <c r="K248">
        <v>0</v>
      </c>
      <c r="L248">
        <v>2</v>
      </c>
      <c r="M248">
        <v>0</v>
      </c>
      <c r="N248">
        <v>0</v>
      </c>
      <c r="O248">
        <v>18</v>
      </c>
      <c r="P248">
        <v>1</v>
      </c>
      <c r="Q248">
        <v>0</v>
      </c>
      <c r="R248">
        <v>0.2</v>
      </c>
      <c r="S248">
        <v>2.9</v>
      </c>
      <c r="T248">
        <v>1.02</v>
      </c>
      <c r="U248">
        <v>0.13</v>
      </c>
      <c r="V248">
        <v>1.1499999999999999</v>
      </c>
      <c r="W248">
        <v>3.28</v>
      </c>
      <c r="X248">
        <v>1</v>
      </c>
      <c r="Y248" t="s">
        <v>1000</v>
      </c>
      <c r="Z248">
        <v>128</v>
      </c>
      <c r="AA248">
        <v>82</v>
      </c>
      <c r="AB248">
        <v>275</v>
      </c>
      <c r="AC248">
        <v>133</v>
      </c>
      <c r="AD248">
        <v>331</v>
      </c>
      <c r="AE248">
        <v>156</v>
      </c>
      <c r="AF248">
        <v>258</v>
      </c>
      <c r="AG248">
        <v>91</v>
      </c>
      <c r="AH248">
        <f>fpl_player_statistics_cleaned[[#This Row],[Total Points]] / fpl_player_statistics_cleaned[[#This Row],[Now Cost]]</f>
        <v>2.8571428571428572</v>
      </c>
      <c r="AI248">
        <f>fpl_player_statistics_cleaned[[#This Row],[Goals Scored]] + fpl_player_statistics_cleaned[[#This Row],[Assists]]</f>
        <v>1</v>
      </c>
      <c r="AJ248">
        <f>fpl_player_statistics_cleaned[[#This Row],[Total Points]] / fpl_player_statistics_cleaned[[#This Row],[Starts]]</f>
        <v>16</v>
      </c>
      <c r="AK248">
        <f>((fpl_player_statistics_cleaned[[#This Row],[Points Per Game]]) * fpl_player_statistics_cleaned[[#This Row],[Form]]) / fpl_player_statistics_cleaned[[#This Row],[Now Cost]]</f>
        <v>0.26785714285714285</v>
      </c>
      <c r="AL248">
        <f>fpl_player_statistics_cleaned[[#This Row],[Minutes]] / fpl_player_statistics_cleaned[[#This Row],[Total Points]]</f>
        <v>13.5</v>
      </c>
      <c r="AM24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4.2857142857142856</v>
      </c>
    </row>
    <row r="249" spans="1:39" x14ac:dyDescent="0.2">
      <c r="A249" t="s">
        <v>282</v>
      </c>
      <c r="B249" t="s">
        <v>49</v>
      </c>
      <c r="C249" t="s">
        <v>38</v>
      </c>
      <c r="D249">
        <v>4.3</v>
      </c>
      <c r="E249">
        <v>16</v>
      </c>
      <c r="F249">
        <v>1.6</v>
      </c>
      <c r="G249">
        <v>2.9</v>
      </c>
      <c r="H249">
        <v>0</v>
      </c>
      <c r="I249">
        <v>1</v>
      </c>
      <c r="J249">
        <v>622</v>
      </c>
      <c r="K249">
        <v>1</v>
      </c>
      <c r="L249">
        <v>11</v>
      </c>
      <c r="M249">
        <v>0</v>
      </c>
      <c r="N249">
        <v>0</v>
      </c>
      <c r="O249">
        <v>32.1</v>
      </c>
      <c r="P249">
        <v>1.5</v>
      </c>
      <c r="Q249">
        <v>0</v>
      </c>
      <c r="R249">
        <v>0.3</v>
      </c>
      <c r="S249">
        <v>3.7</v>
      </c>
      <c r="T249">
        <v>0.56999999999999995</v>
      </c>
      <c r="U249">
        <v>0.73</v>
      </c>
      <c r="V249">
        <v>1.3</v>
      </c>
      <c r="W249">
        <v>11.39</v>
      </c>
      <c r="X249">
        <v>6</v>
      </c>
      <c r="Y249" t="s">
        <v>1000</v>
      </c>
      <c r="Z249">
        <v>606</v>
      </c>
      <c r="AA249">
        <v>155</v>
      </c>
      <c r="AB249">
        <v>223</v>
      </c>
      <c r="AC249">
        <v>72</v>
      </c>
      <c r="AD249">
        <v>318</v>
      </c>
      <c r="AE249">
        <v>114</v>
      </c>
      <c r="AF249">
        <v>104</v>
      </c>
      <c r="AG249">
        <v>37</v>
      </c>
      <c r="AH249">
        <f>fpl_player_statistics_cleaned[[#This Row],[Total Points]] / fpl_player_statistics_cleaned[[#This Row],[Now Cost]]</f>
        <v>3.7209302325581395</v>
      </c>
      <c r="AI249">
        <f>fpl_player_statistics_cleaned[[#This Row],[Goals Scored]] + fpl_player_statistics_cleaned[[#This Row],[Assists]]</f>
        <v>1</v>
      </c>
      <c r="AJ249">
        <f>fpl_player_statistics_cleaned[[#This Row],[Total Points]] / fpl_player_statistics_cleaned[[#This Row],[Starts]]</f>
        <v>2.6666666666666665</v>
      </c>
      <c r="AK249">
        <f>((fpl_player_statistics_cleaned[[#This Row],[Points Per Game]]) * fpl_player_statistics_cleaned[[#This Row],[Form]]) / fpl_player_statistics_cleaned[[#This Row],[Now Cost]]</f>
        <v>0.55813953488372103</v>
      </c>
      <c r="AL249">
        <f>fpl_player_statistics_cleaned[[#This Row],[Minutes]] / fpl_player_statistics_cleaned[[#This Row],[Total Points]]</f>
        <v>38.875</v>
      </c>
      <c r="AM24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8.9302325581395348</v>
      </c>
    </row>
    <row r="250" spans="1:39" x14ac:dyDescent="0.2">
      <c r="A250" t="s">
        <v>283</v>
      </c>
      <c r="B250" t="s">
        <v>65</v>
      </c>
      <c r="C250" t="s">
        <v>38</v>
      </c>
      <c r="D250">
        <v>3.9</v>
      </c>
      <c r="E250">
        <v>16</v>
      </c>
      <c r="F250">
        <v>3.2</v>
      </c>
      <c r="G250">
        <v>1.8</v>
      </c>
      <c r="H250">
        <v>0</v>
      </c>
      <c r="I250">
        <v>0</v>
      </c>
      <c r="J250">
        <v>450</v>
      </c>
      <c r="K250">
        <v>1</v>
      </c>
      <c r="L250">
        <v>9</v>
      </c>
      <c r="M250">
        <v>0</v>
      </c>
      <c r="N250">
        <v>0</v>
      </c>
      <c r="O250">
        <v>11.9</v>
      </c>
      <c r="P250">
        <v>3.8</v>
      </c>
      <c r="Q250">
        <v>0</v>
      </c>
      <c r="R250">
        <v>1</v>
      </c>
      <c r="S250">
        <v>4.0999999999999996</v>
      </c>
      <c r="T250">
        <v>0</v>
      </c>
      <c r="U250">
        <v>0.02</v>
      </c>
      <c r="V250">
        <v>0.02</v>
      </c>
      <c r="W250">
        <v>11.96</v>
      </c>
      <c r="X250">
        <v>5</v>
      </c>
      <c r="Y250" t="s">
        <v>1000</v>
      </c>
      <c r="Z250">
        <v>704</v>
      </c>
      <c r="AA250">
        <v>210</v>
      </c>
      <c r="AB250">
        <v>85</v>
      </c>
      <c r="AC250">
        <v>30</v>
      </c>
      <c r="AD250">
        <v>141</v>
      </c>
      <c r="AE250">
        <v>50</v>
      </c>
      <c r="AF250">
        <v>133</v>
      </c>
      <c r="AG250">
        <v>50</v>
      </c>
      <c r="AH250">
        <f>fpl_player_statistics_cleaned[[#This Row],[Total Points]] / fpl_player_statistics_cleaned[[#This Row],[Now Cost]]</f>
        <v>4.1025641025641031</v>
      </c>
      <c r="AI250">
        <f>fpl_player_statistics_cleaned[[#This Row],[Goals Scored]] + fpl_player_statistics_cleaned[[#This Row],[Assists]]</f>
        <v>0</v>
      </c>
      <c r="AJ250">
        <f>fpl_player_statistics_cleaned[[#This Row],[Total Points]] / fpl_player_statistics_cleaned[[#This Row],[Starts]]</f>
        <v>3.2</v>
      </c>
      <c r="AK250">
        <f>((fpl_player_statistics_cleaned[[#This Row],[Points Per Game]]) * fpl_player_statistics_cleaned[[#This Row],[Form]]) / fpl_player_statistics_cleaned[[#This Row],[Now Cost]]</f>
        <v>3.117948717948718</v>
      </c>
      <c r="AL250">
        <f>fpl_player_statistics_cleaned[[#This Row],[Minutes]] / fpl_player_statistics_cleaned[[#This Row],[Total Points]]</f>
        <v>28.125</v>
      </c>
      <c r="AM25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49.887179487179488</v>
      </c>
    </row>
    <row r="251" spans="1:39" x14ac:dyDescent="0.2">
      <c r="A251" t="s">
        <v>284</v>
      </c>
      <c r="B251" t="s">
        <v>70</v>
      </c>
      <c r="C251" t="s">
        <v>38</v>
      </c>
      <c r="D251">
        <v>4</v>
      </c>
      <c r="E251">
        <v>16</v>
      </c>
      <c r="F251">
        <v>2.2999999999999998</v>
      </c>
      <c r="G251">
        <v>0.6</v>
      </c>
      <c r="H251">
        <v>0</v>
      </c>
      <c r="I251">
        <v>0</v>
      </c>
      <c r="J251">
        <v>291</v>
      </c>
      <c r="K251">
        <v>1</v>
      </c>
      <c r="L251">
        <v>2</v>
      </c>
      <c r="M251">
        <v>0</v>
      </c>
      <c r="N251">
        <v>3</v>
      </c>
      <c r="O251">
        <v>6.8</v>
      </c>
      <c r="P251">
        <v>0.2</v>
      </c>
      <c r="Q251">
        <v>0</v>
      </c>
      <c r="R251">
        <v>0</v>
      </c>
      <c r="S251">
        <v>4</v>
      </c>
      <c r="T251">
        <v>0</v>
      </c>
      <c r="U251">
        <v>0.09</v>
      </c>
      <c r="V251">
        <v>0.09</v>
      </c>
      <c r="W251">
        <v>3.37</v>
      </c>
      <c r="X251">
        <v>3</v>
      </c>
      <c r="Y251" t="s">
        <v>1000</v>
      </c>
      <c r="Z251">
        <v>670</v>
      </c>
      <c r="AA251">
        <v>186</v>
      </c>
      <c r="AB251">
        <v>345</v>
      </c>
      <c r="AC251">
        <v>117</v>
      </c>
      <c r="AD251">
        <v>223</v>
      </c>
      <c r="AE251">
        <v>80</v>
      </c>
      <c r="AF251">
        <v>214</v>
      </c>
      <c r="AG251">
        <v>79</v>
      </c>
      <c r="AH251">
        <f>fpl_player_statistics_cleaned[[#This Row],[Total Points]] / fpl_player_statistics_cleaned[[#This Row],[Now Cost]]</f>
        <v>4</v>
      </c>
      <c r="AI251">
        <f>fpl_player_statistics_cleaned[[#This Row],[Goals Scored]] + fpl_player_statistics_cleaned[[#This Row],[Assists]]</f>
        <v>0</v>
      </c>
      <c r="AJ251">
        <f>fpl_player_statistics_cleaned[[#This Row],[Total Points]] / fpl_player_statistics_cleaned[[#This Row],[Starts]]</f>
        <v>5.333333333333333</v>
      </c>
      <c r="AK251">
        <f>((fpl_player_statistics_cleaned[[#This Row],[Points Per Game]]) * fpl_player_statistics_cleaned[[#This Row],[Form]]) / fpl_player_statistics_cleaned[[#This Row],[Now Cost]]</f>
        <v>0.11499999999999999</v>
      </c>
      <c r="AL251">
        <f>fpl_player_statistics_cleaned[[#This Row],[Minutes]] / fpl_player_statistics_cleaned[[#This Row],[Total Points]]</f>
        <v>18.1875</v>
      </c>
      <c r="AM25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1.8399999999999999</v>
      </c>
    </row>
    <row r="252" spans="1:39" x14ac:dyDescent="0.2">
      <c r="A252" t="s">
        <v>285</v>
      </c>
      <c r="B252" t="s">
        <v>72</v>
      </c>
      <c r="C252" t="s">
        <v>41</v>
      </c>
      <c r="D252">
        <v>6.7</v>
      </c>
      <c r="E252">
        <v>16</v>
      </c>
      <c r="F252">
        <v>1.5</v>
      </c>
      <c r="G252">
        <v>3.4</v>
      </c>
      <c r="H252">
        <v>0</v>
      </c>
      <c r="I252">
        <v>0</v>
      </c>
      <c r="J252">
        <v>411</v>
      </c>
      <c r="K252">
        <v>2</v>
      </c>
      <c r="L252">
        <v>9</v>
      </c>
      <c r="M252">
        <v>0</v>
      </c>
      <c r="N252">
        <v>0</v>
      </c>
      <c r="O252">
        <v>23.1</v>
      </c>
      <c r="P252">
        <v>1</v>
      </c>
      <c r="Q252">
        <v>0</v>
      </c>
      <c r="R252">
        <v>0.1</v>
      </c>
      <c r="S252">
        <v>2.4</v>
      </c>
      <c r="T252">
        <v>0.78</v>
      </c>
      <c r="U252">
        <v>0.4</v>
      </c>
      <c r="V252">
        <v>1.18</v>
      </c>
      <c r="W252">
        <v>5.62</v>
      </c>
      <c r="X252">
        <v>4</v>
      </c>
      <c r="Y252" t="s">
        <v>1000</v>
      </c>
      <c r="Z252">
        <v>49</v>
      </c>
      <c r="AA252">
        <v>33</v>
      </c>
      <c r="AB252">
        <v>281</v>
      </c>
      <c r="AC252">
        <v>138</v>
      </c>
      <c r="AD252">
        <v>333</v>
      </c>
      <c r="AE252">
        <v>157</v>
      </c>
      <c r="AF252">
        <v>92</v>
      </c>
      <c r="AG252">
        <v>30</v>
      </c>
      <c r="AH252">
        <f>fpl_player_statistics_cleaned[[#This Row],[Total Points]] / fpl_player_statistics_cleaned[[#This Row],[Now Cost]]</f>
        <v>2.3880597014925371</v>
      </c>
      <c r="AI252">
        <f>fpl_player_statistics_cleaned[[#This Row],[Goals Scored]] + fpl_player_statistics_cleaned[[#This Row],[Assists]]</f>
        <v>0</v>
      </c>
      <c r="AJ252">
        <f>fpl_player_statistics_cleaned[[#This Row],[Total Points]] / fpl_player_statistics_cleaned[[#This Row],[Starts]]</f>
        <v>4</v>
      </c>
      <c r="AK252">
        <f>((fpl_player_statistics_cleaned[[#This Row],[Points Per Game]]) * fpl_player_statistics_cleaned[[#This Row],[Form]]) / fpl_player_statistics_cleaned[[#This Row],[Now Cost]]</f>
        <v>0.22388059701492538</v>
      </c>
      <c r="AL252">
        <f>fpl_player_statistics_cleaned[[#This Row],[Minutes]] / fpl_player_statistics_cleaned[[#This Row],[Total Points]]</f>
        <v>25.6875</v>
      </c>
      <c r="AM25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3.5820895522388057</v>
      </c>
    </row>
    <row r="253" spans="1:39" x14ac:dyDescent="0.2">
      <c r="A253" t="s">
        <v>286</v>
      </c>
      <c r="B253" t="s">
        <v>81</v>
      </c>
      <c r="C253" t="s">
        <v>41</v>
      </c>
      <c r="D253">
        <v>4.7</v>
      </c>
      <c r="E253">
        <v>16</v>
      </c>
      <c r="F253">
        <v>1.5</v>
      </c>
      <c r="G253">
        <v>2</v>
      </c>
      <c r="H253">
        <v>0</v>
      </c>
      <c r="I253">
        <v>0</v>
      </c>
      <c r="J253">
        <v>644</v>
      </c>
      <c r="K253">
        <v>4</v>
      </c>
      <c r="L253">
        <v>7</v>
      </c>
      <c r="M253">
        <v>0</v>
      </c>
      <c r="N253">
        <v>0</v>
      </c>
      <c r="O253">
        <v>8.4</v>
      </c>
      <c r="P253">
        <v>2</v>
      </c>
      <c r="Q253">
        <v>0</v>
      </c>
      <c r="R253">
        <v>0.4</v>
      </c>
      <c r="S253">
        <v>3.4</v>
      </c>
      <c r="T253">
        <v>0.14000000000000001</v>
      </c>
      <c r="U253">
        <v>0.17</v>
      </c>
      <c r="V253">
        <v>0.31</v>
      </c>
      <c r="W253">
        <v>8.11</v>
      </c>
      <c r="X253">
        <v>10</v>
      </c>
      <c r="Y253" t="s">
        <v>1000</v>
      </c>
      <c r="Z253">
        <v>384</v>
      </c>
      <c r="AA253">
        <v>240</v>
      </c>
      <c r="AB253">
        <v>184</v>
      </c>
      <c r="AC253">
        <v>88</v>
      </c>
      <c r="AD253">
        <v>326</v>
      </c>
      <c r="AE253">
        <v>151</v>
      </c>
      <c r="AF253">
        <v>128</v>
      </c>
      <c r="AG253">
        <v>46</v>
      </c>
      <c r="AH253">
        <f>fpl_player_statistics_cleaned[[#This Row],[Total Points]] / fpl_player_statistics_cleaned[[#This Row],[Now Cost]]</f>
        <v>3.4042553191489362</v>
      </c>
      <c r="AI253">
        <f>fpl_player_statistics_cleaned[[#This Row],[Goals Scored]] + fpl_player_statistics_cleaned[[#This Row],[Assists]]</f>
        <v>0</v>
      </c>
      <c r="AJ253">
        <f>fpl_player_statistics_cleaned[[#This Row],[Total Points]] / fpl_player_statistics_cleaned[[#This Row],[Starts]]</f>
        <v>1.6</v>
      </c>
      <c r="AK253">
        <f>((fpl_player_statistics_cleaned[[#This Row],[Points Per Game]]) * fpl_player_statistics_cleaned[[#This Row],[Form]]) / fpl_player_statistics_cleaned[[#This Row],[Now Cost]]</f>
        <v>0.63829787234042545</v>
      </c>
      <c r="AL253">
        <f>fpl_player_statistics_cleaned[[#This Row],[Minutes]] / fpl_player_statistics_cleaned[[#This Row],[Total Points]]</f>
        <v>40.25</v>
      </c>
      <c r="AM25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10.212765957446809</v>
      </c>
    </row>
    <row r="254" spans="1:39" x14ac:dyDescent="0.2">
      <c r="A254" t="s">
        <v>287</v>
      </c>
      <c r="B254" t="s">
        <v>65</v>
      </c>
      <c r="C254" t="s">
        <v>41</v>
      </c>
      <c r="D254">
        <v>5.3</v>
      </c>
      <c r="E254">
        <v>16</v>
      </c>
      <c r="F254">
        <v>1.8</v>
      </c>
      <c r="G254">
        <v>0</v>
      </c>
      <c r="H254">
        <v>0</v>
      </c>
      <c r="I254">
        <v>1</v>
      </c>
      <c r="J254">
        <v>411</v>
      </c>
      <c r="K254">
        <v>1</v>
      </c>
      <c r="L254">
        <v>11</v>
      </c>
      <c r="M254">
        <v>0</v>
      </c>
      <c r="N254">
        <v>0</v>
      </c>
      <c r="O254">
        <v>16.899999999999999</v>
      </c>
      <c r="P254">
        <v>1.2</v>
      </c>
      <c r="Q254">
        <v>0</v>
      </c>
      <c r="R254">
        <v>0.2</v>
      </c>
      <c r="S254">
        <v>3</v>
      </c>
      <c r="T254">
        <v>0.24</v>
      </c>
      <c r="U254">
        <v>0.6</v>
      </c>
      <c r="V254">
        <v>0.84</v>
      </c>
      <c r="W254">
        <v>10.14</v>
      </c>
      <c r="X254">
        <v>4</v>
      </c>
      <c r="Y254" t="s">
        <v>1000</v>
      </c>
      <c r="Z254">
        <v>193</v>
      </c>
      <c r="AA254">
        <v>120</v>
      </c>
      <c r="AB254">
        <v>257</v>
      </c>
      <c r="AC254">
        <v>124</v>
      </c>
      <c r="AD254">
        <v>300</v>
      </c>
      <c r="AE254">
        <v>139</v>
      </c>
      <c r="AF254">
        <v>616</v>
      </c>
      <c r="AG254">
        <v>247</v>
      </c>
      <c r="AH254">
        <f>fpl_player_statistics_cleaned[[#This Row],[Total Points]] / fpl_player_statistics_cleaned[[#This Row],[Now Cost]]</f>
        <v>3.0188679245283021</v>
      </c>
      <c r="AI254">
        <f>fpl_player_statistics_cleaned[[#This Row],[Goals Scored]] + fpl_player_statistics_cleaned[[#This Row],[Assists]]</f>
        <v>1</v>
      </c>
      <c r="AJ254">
        <f>fpl_player_statistics_cleaned[[#This Row],[Total Points]] / fpl_player_statistics_cleaned[[#This Row],[Starts]]</f>
        <v>4</v>
      </c>
      <c r="AK254">
        <f>((fpl_player_statistics_cleaned[[#This Row],[Points Per Game]]) * fpl_player_statistics_cleaned[[#This Row],[Form]]) / fpl_player_statistics_cleaned[[#This Row],[Now Cost]]</f>
        <v>0.40754716981132078</v>
      </c>
      <c r="AL254">
        <f>fpl_player_statistics_cleaned[[#This Row],[Minutes]] / fpl_player_statistics_cleaned[[#This Row],[Total Points]]</f>
        <v>25.6875</v>
      </c>
      <c r="AM25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6.5207547169811324</v>
      </c>
    </row>
    <row r="255" spans="1:39" x14ac:dyDescent="0.2">
      <c r="A255" t="s">
        <v>288</v>
      </c>
      <c r="B255" t="s">
        <v>81</v>
      </c>
      <c r="C255" t="s">
        <v>38</v>
      </c>
      <c r="D255">
        <v>4.3</v>
      </c>
      <c r="E255">
        <v>16</v>
      </c>
      <c r="F255">
        <v>1.8</v>
      </c>
      <c r="G255">
        <v>1.9</v>
      </c>
      <c r="H255">
        <v>1</v>
      </c>
      <c r="I255">
        <v>0</v>
      </c>
      <c r="J255">
        <v>411</v>
      </c>
      <c r="K255">
        <v>0</v>
      </c>
      <c r="L255">
        <v>8</v>
      </c>
      <c r="M255">
        <v>0</v>
      </c>
      <c r="N255">
        <v>1</v>
      </c>
      <c r="O255">
        <v>24.3</v>
      </c>
      <c r="P255">
        <v>0.5</v>
      </c>
      <c r="Q255">
        <v>0</v>
      </c>
      <c r="R255">
        <v>0.1</v>
      </c>
      <c r="S255">
        <v>3.7</v>
      </c>
      <c r="T255">
        <v>0.74</v>
      </c>
      <c r="U255">
        <v>0.75</v>
      </c>
      <c r="V255">
        <v>1.49</v>
      </c>
      <c r="W255">
        <v>6.35</v>
      </c>
      <c r="X255">
        <v>5</v>
      </c>
      <c r="Y255" t="s">
        <v>1000</v>
      </c>
      <c r="Z255">
        <v>592</v>
      </c>
      <c r="AA255">
        <v>148</v>
      </c>
      <c r="AB255">
        <v>308</v>
      </c>
      <c r="AC255">
        <v>102</v>
      </c>
      <c r="AD255">
        <v>293</v>
      </c>
      <c r="AE255">
        <v>105</v>
      </c>
      <c r="AF255">
        <v>131</v>
      </c>
      <c r="AG255">
        <v>49</v>
      </c>
      <c r="AH255">
        <f>fpl_player_statistics_cleaned[[#This Row],[Total Points]] / fpl_player_statistics_cleaned[[#This Row],[Now Cost]]</f>
        <v>3.7209302325581395</v>
      </c>
      <c r="AI255">
        <f>fpl_player_statistics_cleaned[[#This Row],[Goals Scored]] + fpl_player_statistics_cleaned[[#This Row],[Assists]]</f>
        <v>1</v>
      </c>
      <c r="AJ255">
        <f>fpl_player_statistics_cleaned[[#This Row],[Total Points]] / fpl_player_statistics_cleaned[[#This Row],[Starts]]</f>
        <v>3.2</v>
      </c>
      <c r="AK255">
        <f>((fpl_player_statistics_cleaned[[#This Row],[Points Per Game]]) * fpl_player_statistics_cleaned[[#This Row],[Form]]) / fpl_player_statistics_cleaned[[#This Row],[Now Cost]]</f>
        <v>0.20930232558139536</v>
      </c>
      <c r="AL255">
        <f>fpl_player_statistics_cleaned[[#This Row],[Minutes]] / fpl_player_statistics_cleaned[[#This Row],[Total Points]]</f>
        <v>25.6875</v>
      </c>
      <c r="AM25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3.3488372093023258</v>
      </c>
    </row>
    <row r="256" spans="1:39" x14ac:dyDescent="0.2">
      <c r="A256" t="s">
        <v>289</v>
      </c>
      <c r="B256" t="s">
        <v>47</v>
      </c>
      <c r="C256" t="s">
        <v>38</v>
      </c>
      <c r="D256">
        <v>4.4000000000000004</v>
      </c>
      <c r="E256">
        <v>15</v>
      </c>
      <c r="F256">
        <v>3</v>
      </c>
      <c r="G256">
        <v>0.2</v>
      </c>
      <c r="H256">
        <v>0</v>
      </c>
      <c r="I256">
        <v>0</v>
      </c>
      <c r="J256">
        <v>307</v>
      </c>
      <c r="K256">
        <v>2</v>
      </c>
      <c r="L256">
        <v>3</v>
      </c>
      <c r="M256">
        <v>0</v>
      </c>
      <c r="N256">
        <v>0</v>
      </c>
      <c r="O256">
        <v>7.3</v>
      </c>
      <c r="P256">
        <v>3</v>
      </c>
      <c r="Q256">
        <v>0</v>
      </c>
      <c r="R256">
        <v>0.7</v>
      </c>
      <c r="S256">
        <v>3.4</v>
      </c>
      <c r="T256">
        <v>0.13</v>
      </c>
      <c r="U256">
        <v>0.03</v>
      </c>
      <c r="V256">
        <v>0.16</v>
      </c>
      <c r="W256">
        <v>2.71</v>
      </c>
      <c r="X256">
        <v>4</v>
      </c>
      <c r="Y256" t="s">
        <v>1000</v>
      </c>
      <c r="Z256">
        <v>518</v>
      </c>
      <c r="AA256">
        <v>124</v>
      </c>
      <c r="AB256">
        <v>122</v>
      </c>
      <c r="AC256">
        <v>45</v>
      </c>
      <c r="AD256">
        <v>163</v>
      </c>
      <c r="AE256">
        <v>60</v>
      </c>
      <c r="AF256">
        <v>365</v>
      </c>
      <c r="AG256">
        <v>129</v>
      </c>
      <c r="AH256">
        <f>fpl_player_statistics_cleaned[[#This Row],[Total Points]] / fpl_player_statistics_cleaned[[#This Row],[Now Cost]]</f>
        <v>3.4090909090909087</v>
      </c>
      <c r="AI256">
        <f>fpl_player_statistics_cleaned[[#This Row],[Goals Scored]] + fpl_player_statistics_cleaned[[#This Row],[Assists]]</f>
        <v>0</v>
      </c>
      <c r="AJ256">
        <f>fpl_player_statistics_cleaned[[#This Row],[Total Points]] / fpl_player_statistics_cleaned[[#This Row],[Starts]]</f>
        <v>3.75</v>
      </c>
      <c r="AK256">
        <f>((fpl_player_statistics_cleaned[[#This Row],[Points Per Game]]) * fpl_player_statistics_cleaned[[#This Row],[Form]]) / fpl_player_statistics_cleaned[[#This Row],[Now Cost]]</f>
        <v>2.0454545454545454</v>
      </c>
      <c r="AL256">
        <f>fpl_player_statistics_cleaned[[#This Row],[Minutes]] / fpl_player_statistics_cleaned[[#This Row],[Total Points]]</f>
        <v>20.466666666666665</v>
      </c>
      <c r="AM25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30.68181818181818</v>
      </c>
    </row>
    <row r="257" spans="1:39" hidden="1" x14ac:dyDescent="0.2">
      <c r="A257" t="s">
        <v>290</v>
      </c>
      <c r="B257" t="s">
        <v>81</v>
      </c>
      <c r="C257" t="s">
        <v>41</v>
      </c>
      <c r="D257">
        <v>5</v>
      </c>
      <c r="E257">
        <v>15</v>
      </c>
      <c r="F257">
        <v>2.1</v>
      </c>
      <c r="G257">
        <v>0.1</v>
      </c>
      <c r="H257">
        <v>1</v>
      </c>
      <c r="I257">
        <v>1</v>
      </c>
      <c r="J257">
        <v>187</v>
      </c>
      <c r="K257">
        <v>0</v>
      </c>
      <c r="L257">
        <v>7</v>
      </c>
      <c r="M257">
        <v>0</v>
      </c>
      <c r="N257">
        <v>0</v>
      </c>
      <c r="O257">
        <v>16.8</v>
      </c>
      <c r="P257">
        <v>1.2</v>
      </c>
      <c r="Q257">
        <v>0</v>
      </c>
      <c r="R257">
        <v>0.2</v>
      </c>
      <c r="S257">
        <v>3</v>
      </c>
      <c r="T257">
        <v>0.79</v>
      </c>
      <c r="U257">
        <v>0.4</v>
      </c>
      <c r="V257">
        <v>1.19</v>
      </c>
      <c r="W257">
        <v>3.34</v>
      </c>
      <c r="X257">
        <v>1</v>
      </c>
      <c r="Y257" t="s">
        <v>145</v>
      </c>
      <c r="Z257">
        <v>238</v>
      </c>
      <c r="AA257">
        <v>149</v>
      </c>
      <c r="AB257">
        <v>251</v>
      </c>
      <c r="AC257">
        <v>119</v>
      </c>
      <c r="AD257">
        <v>263</v>
      </c>
      <c r="AE257">
        <v>121</v>
      </c>
      <c r="AF257">
        <v>441</v>
      </c>
      <c r="AG257">
        <v>153</v>
      </c>
      <c r="AI257">
        <v>2.4528301886792452</v>
      </c>
    </row>
    <row r="258" spans="1:39" x14ac:dyDescent="0.2">
      <c r="A258" t="s">
        <v>291</v>
      </c>
      <c r="B258" t="s">
        <v>63</v>
      </c>
      <c r="C258" t="s">
        <v>38</v>
      </c>
      <c r="D258">
        <v>5</v>
      </c>
      <c r="E258">
        <v>15</v>
      </c>
      <c r="F258">
        <v>1.7</v>
      </c>
      <c r="G258">
        <v>0.3</v>
      </c>
      <c r="H258">
        <v>0</v>
      </c>
      <c r="I258">
        <v>1</v>
      </c>
      <c r="J258">
        <v>529</v>
      </c>
      <c r="K258">
        <v>1</v>
      </c>
      <c r="L258">
        <v>11</v>
      </c>
      <c r="M258">
        <v>0</v>
      </c>
      <c r="N258">
        <v>0</v>
      </c>
      <c r="O258">
        <v>17</v>
      </c>
      <c r="P258">
        <v>3</v>
      </c>
      <c r="Q258">
        <v>0</v>
      </c>
      <c r="R258">
        <v>0.6</v>
      </c>
      <c r="S258">
        <v>3</v>
      </c>
      <c r="T258">
        <v>7.0000000000000007E-2</v>
      </c>
      <c r="U258">
        <v>0.53</v>
      </c>
      <c r="V258">
        <v>0.6</v>
      </c>
      <c r="W258">
        <v>8.06</v>
      </c>
      <c r="X258">
        <v>7</v>
      </c>
      <c r="Y258" t="s">
        <v>1000</v>
      </c>
      <c r="Z258">
        <v>275</v>
      </c>
      <c r="AA258">
        <v>43</v>
      </c>
      <c r="AB258">
        <v>126</v>
      </c>
      <c r="AC258">
        <v>47</v>
      </c>
      <c r="AD258">
        <v>312</v>
      </c>
      <c r="AE258">
        <v>112</v>
      </c>
      <c r="AF258">
        <v>324</v>
      </c>
      <c r="AG258">
        <v>114</v>
      </c>
      <c r="AH258">
        <f>fpl_player_statistics_cleaned[[#This Row],[Total Points]] / fpl_player_statistics_cleaned[[#This Row],[Now Cost]]</f>
        <v>3</v>
      </c>
      <c r="AI258">
        <f>fpl_player_statistics_cleaned[[#This Row],[Goals Scored]] + fpl_player_statistics_cleaned[[#This Row],[Assists]]</f>
        <v>1</v>
      </c>
      <c r="AJ258">
        <f>fpl_player_statistics_cleaned[[#This Row],[Total Points]] / fpl_player_statistics_cleaned[[#This Row],[Starts]]</f>
        <v>2.1428571428571428</v>
      </c>
      <c r="AK258">
        <f>((fpl_player_statistics_cleaned[[#This Row],[Points Per Game]]) * fpl_player_statistics_cleaned[[#This Row],[Form]]) / fpl_player_statistics_cleaned[[#This Row],[Now Cost]]</f>
        <v>1.02</v>
      </c>
      <c r="AL258">
        <f>fpl_player_statistics_cleaned[[#This Row],[Minutes]] / fpl_player_statistics_cleaned[[#This Row],[Total Points]]</f>
        <v>35.266666666666666</v>
      </c>
      <c r="AM25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15.299999999999999</v>
      </c>
    </row>
    <row r="259" spans="1:39" x14ac:dyDescent="0.2">
      <c r="A259" t="s">
        <v>292</v>
      </c>
      <c r="B259" t="s">
        <v>34</v>
      </c>
      <c r="C259" t="s">
        <v>38</v>
      </c>
      <c r="D259">
        <v>4.8</v>
      </c>
      <c r="E259">
        <v>15</v>
      </c>
      <c r="F259">
        <v>3</v>
      </c>
      <c r="G259">
        <v>1.6</v>
      </c>
      <c r="H259">
        <v>0</v>
      </c>
      <c r="I259">
        <v>1</v>
      </c>
      <c r="J259">
        <v>172</v>
      </c>
      <c r="K259">
        <v>1</v>
      </c>
      <c r="L259">
        <v>3</v>
      </c>
      <c r="M259">
        <v>0</v>
      </c>
      <c r="N259">
        <v>2</v>
      </c>
      <c r="O259">
        <v>9.4</v>
      </c>
      <c r="P259">
        <v>0.2</v>
      </c>
      <c r="Q259">
        <v>1</v>
      </c>
      <c r="R259">
        <v>0</v>
      </c>
      <c r="S259">
        <v>3.1</v>
      </c>
      <c r="T259">
        <v>0.02</v>
      </c>
      <c r="U259">
        <v>0.91</v>
      </c>
      <c r="V259">
        <v>0.93</v>
      </c>
      <c r="W259">
        <v>2.57</v>
      </c>
      <c r="X259">
        <v>2</v>
      </c>
      <c r="Y259" t="s">
        <v>1000</v>
      </c>
      <c r="Z259">
        <v>369</v>
      </c>
      <c r="AA259">
        <v>63</v>
      </c>
      <c r="AB259">
        <v>365</v>
      </c>
      <c r="AC259">
        <v>128</v>
      </c>
      <c r="AD259">
        <v>164</v>
      </c>
      <c r="AE259">
        <v>61</v>
      </c>
      <c r="AF259">
        <v>140</v>
      </c>
      <c r="AG259">
        <v>53</v>
      </c>
      <c r="AH259">
        <f>fpl_player_statistics_cleaned[[#This Row],[Total Points]] / fpl_player_statistics_cleaned[[#This Row],[Now Cost]]</f>
        <v>3.125</v>
      </c>
      <c r="AI259">
        <f>fpl_player_statistics_cleaned[[#This Row],[Goals Scored]] + fpl_player_statistics_cleaned[[#This Row],[Assists]]</f>
        <v>1</v>
      </c>
      <c r="AJ259">
        <f>fpl_player_statistics_cleaned[[#This Row],[Total Points]] / fpl_player_statistics_cleaned[[#This Row],[Starts]]</f>
        <v>7.5</v>
      </c>
      <c r="AK259">
        <f>((fpl_player_statistics_cleaned[[#This Row],[Points Per Game]]) * fpl_player_statistics_cleaned[[#This Row],[Form]]) / fpl_player_statistics_cleaned[[#This Row],[Now Cost]]</f>
        <v>0.12500000000000003</v>
      </c>
      <c r="AL259">
        <f>fpl_player_statistics_cleaned[[#This Row],[Minutes]] / fpl_player_statistics_cleaned[[#This Row],[Total Points]]</f>
        <v>11.466666666666667</v>
      </c>
      <c r="AM25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1.875</v>
      </c>
    </row>
    <row r="260" spans="1:39" x14ac:dyDescent="0.2">
      <c r="A260" t="s">
        <v>293</v>
      </c>
      <c r="B260" t="s">
        <v>153</v>
      </c>
      <c r="C260" t="s">
        <v>55</v>
      </c>
      <c r="D260">
        <v>4.5</v>
      </c>
      <c r="E260">
        <v>15</v>
      </c>
      <c r="F260">
        <v>2.1</v>
      </c>
      <c r="G260">
        <v>0.1</v>
      </c>
      <c r="H260">
        <v>0</v>
      </c>
      <c r="I260">
        <v>0</v>
      </c>
      <c r="J260">
        <v>630</v>
      </c>
      <c r="K260">
        <v>0</v>
      </c>
      <c r="L260">
        <v>14</v>
      </c>
      <c r="M260">
        <v>24</v>
      </c>
      <c r="N260">
        <v>0</v>
      </c>
      <c r="O260">
        <v>19.5</v>
      </c>
      <c r="P260">
        <v>1.8</v>
      </c>
      <c r="Q260">
        <v>0</v>
      </c>
      <c r="R260">
        <v>0.4</v>
      </c>
      <c r="S260">
        <v>3.3</v>
      </c>
      <c r="T260">
        <v>0</v>
      </c>
      <c r="U260">
        <v>0.01</v>
      </c>
      <c r="V260">
        <v>0.01</v>
      </c>
      <c r="W260">
        <v>10.35</v>
      </c>
      <c r="X260">
        <v>7</v>
      </c>
      <c r="Y260" t="s">
        <v>1000</v>
      </c>
      <c r="Z260">
        <v>395</v>
      </c>
      <c r="AA260">
        <v>22</v>
      </c>
      <c r="AB260">
        <v>202</v>
      </c>
      <c r="AC260">
        <v>18</v>
      </c>
      <c r="AD260">
        <v>257</v>
      </c>
      <c r="AE260">
        <v>23</v>
      </c>
      <c r="AF260">
        <v>400</v>
      </c>
      <c r="AG260">
        <v>62</v>
      </c>
      <c r="AH260">
        <f>fpl_player_statistics_cleaned[[#This Row],[Total Points]] / fpl_player_statistics_cleaned[[#This Row],[Now Cost]]</f>
        <v>3.3333333333333335</v>
      </c>
      <c r="AI260">
        <f>fpl_player_statistics_cleaned[[#This Row],[Goals Scored]] + fpl_player_statistics_cleaned[[#This Row],[Assists]]</f>
        <v>0</v>
      </c>
      <c r="AJ260">
        <f>fpl_player_statistics_cleaned[[#This Row],[Total Points]] / fpl_player_statistics_cleaned[[#This Row],[Starts]]</f>
        <v>2.1428571428571428</v>
      </c>
      <c r="AK260">
        <f>((fpl_player_statistics_cleaned[[#This Row],[Points Per Game]]) * fpl_player_statistics_cleaned[[#This Row],[Form]]) / fpl_player_statistics_cleaned[[#This Row],[Now Cost]]</f>
        <v>0.84000000000000008</v>
      </c>
      <c r="AL260">
        <f>fpl_player_statistics_cleaned[[#This Row],[Minutes]] / fpl_player_statistics_cleaned[[#This Row],[Total Points]]</f>
        <v>42</v>
      </c>
      <c r="AM26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12.600000000000001</v>
      </c>
    </row>
    <row r="261" spans="1:39" x14ac:dyDescent="0.2">
      <c r="A261" t="s">
        <v>294</v>
      </c>
      <c r="B261" t="s">
        <v>65</v>
      </c>
      <c r="C261" t="s">
        <v>41</v>
      </c>
      <c r="D261">
        <v>4.9000000000000004</v>
      </c>
      <c r="E261">
        <v>15</v>
      </c>
      <c r="F261">
        <v>1.5</v>
      </c>
      <c r="G261">
        <v>0</v>
      </c>
      <c r="H261">
        <v>0</v>
      </c>
      <c r="I261">
        <v>0</v>
      </c>
      <c r="J261">
        <v>557</v>
      </c>
      <c r="K261">
        <v>0</v>
      </c>
      <c r="L261">
        <v>14</v>
      </c>
      <c r="M261">
        <v>0</v>
      </c>
      <c r="N261">
        <v>0</v>
      </c>
      <c r="O261">
        <v>12.9</v>
      </c>
      <c r="P261">
        <v>1</v>
      </c>
      <c r="Q261">
        <v>0</v>
      </c>
      <c r="R261">
        <v>0.2</v>
      </c>
      <c r="S261">
        <v>3.1</v>
      </c>
      <c r="T261">
        <v>0.16</v>
      </c>
      <c r="U261">
        <v>0.15</v>
      </c>
      <c r="V261">
        <v>0.31</v>
      </c>
      <c r="W261">
        <v>13.31</v>
      </c>
      <c r="X261">
        <v>6</v>
      </c>
      <c r="Y261" t="s">
        <v>1000</v>
      </c>
      <c r="Z261">
        <v>295</v>
      </c>
      <c r="AA261">
        <v>186</v>
      </c>
      <c r="AB261">
        <v>271</v>
      </c>
      <c r="AC261">
        <v>131</v>
      </c>
      <c r="AD261">
        <v>329</v>
      </c>
      <c r="AE261">
        <v>154</v>
      </c>
      <c r="AF261">
        <v>627</v>
      </c>
      <c r="AG261">
        <v>255</v>
      </c>
      <c r="AH261">
        <f>fpl_player_statistics_cleaned[[#This Row],[Total Points]] / fpl_player_statistics_cleaned[[#This Row],[Now Cost]]</f>
        <v>3.0612244897959182</v>
      </c>
      <c r="AI261">
        <f>fpl_player_statistics_cleaned[[#This Row],[Goals Scored]] + fpl_player_statistics_cleaned[[#This Row],[Assists]]</f>
        <v>0</v>
      </c>
      <c r="AJ261">
        <f>fpl_player_statistics_cleaned[[#This Row],[Total Points]] / fpl_player_statistics_cleaned[[#This Row],[Starts]]</f>
        <v>2.5</v>
      </c>
      <c r="AK261">
        <f>((fpl_player_statistics_cleaned[[#This Row],[Points Per Game]]) * fpl_player_statistics_cleaned[[#This Row],[Form]]) / fpl_player_statistics_cleaned[[#This Row],[Now Cost]]</f>
        <v>0.30612244897959179</v>
      </c>
      <c r="AL261">
        <f>fpl_player_statistics_cleaned[[#This Row],[Minutes]] / fpl_player_statistics_cleaned[[#This Row],[Total Points]]</f>
        <v>37.133333333333333</v>
      </c>
      <c r="AM26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4.5918367346938771</v>
      </c>
    </row>
    <row r="262" spans="1:39" x14ac:dyDescent="0.2">
      <c r="A262" t="s">
        <v>295</v>
      </c>
      <c r="B262" t="s">
        <v>97</v>
      </c>
      <c r="C262" t="s">
        <v>55</v>
      </c>
      <c r="D262">
        <v>4.3</v>
      </c>
      <c r="E262">
        <v>15</v>
      </c>
      <c r="F262">
        <v>2.1</v>
      </c>
      <c r="G262">
        <v>2.1</v>
      </c>
      <c r="H262">
        <v>0</v>
      </c>
      <c r="I262">
        <v>0</v>
      </c>
      <c r="J262">
        <v>630</v>
      </c>
      <c r="K262">
        <v>0</v>
      </c>
      <c r="L262">
        <v>12</v>
      </c>
      <c r="M262">
        <v>24</v>
      </c>
      <c r="N262">
        <v>0</v>
      </c>
      <c r="O262">
        <v>18.8</v>
      </c>
      <c r="P262">
        <v>2.2000000000000002</v>
      </c>
      <c r="Q262">
        <v>0</v>
      </c>
      <c r="R262">
        <v>0.5</v>
      </c>
      <c r="S262">
        <v>3.5</v>
      </c>
      <c r="T262">
        <v>0</v>
      </c>
      <c r="U262">
        <v>0</v>
      </c>
      <c r="V262">
        <v>0</v>
      </c>
      <c r="W262">
        <v>11.19</v>
      </c>
      <c r="X262">
        <v>7</v>
      </c>
      <c r="Y262" t="s">
        <v>1000</v>
      </c>
      <c r="Z262">
        <v>571</v>
      </c>
      <c r="AA262">
        <v>33</v>
      </c>
      <c r="AB262">
        <v>164</v>
      </c>
      <c r="AC262">
        <v>16</v>
      </c>
      <c r="AD262">
        <v>254</v>
      </c>
      <c r="AE262">
        <v>22</v>
      </c>
      <c r="AF262">
        <v>122</v>
      </c>
      <c r="AG262">
        <v>17</v>
      </c>
      <c r="AH262">
        <f>fpl_player_statistics_cleaned[[#This Row],[Total Points]] / fpl_player_statistics_cleaned[[#This Row],[Now Cost]]</f>
        <v>3.4883720930232558</v>
      </c>
      <c r="AI262">
        <f>fpl_player_statistics_cleaned[[#This Row],[Goals Scored]] + fpl_player_statistics_cleaned[[#This Row],[Assists]]</f>
        <v>0</v>
      </c>
      <c r="AJ262">
        <f>fpl_player_statistics_cleaned[[#This Row],[Total Points]] / fpl_player_statistics_cleaned[[#This Row],[Starts]]</f>
        <v>2.1428571428571428</v>
      </c>
      <c r="AK262">
        <f>((fpl_player_statistics_cleaned[[#This Row],[Points Per Game]]) * fpl_player_statistics_cleaned[[#This Row],[Form]]) / fpl_player_statistics_cleaned[[#This Row],[Now Cost]]</f>
        <v>1.074418604651163</v>
      </c>
      <c r="AL262">
        <f>fpl_player_statistics_cleaned[[#This Row],[Minutes]] / fpl_player_statistics_cleaned[[#This Row],[Total Points]]</f>
        <v>42</v>
      </c>
      <c r="AM26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16.116279069767444</v>
      </c>
    </row>
    <row r="263" spans="1:39" x14ac:dyDescent="0.2">
      <c r="A263" t="s">
        <v>939</v>
      </c>
      <c r="B263" t="s">
        <v>43</v>
      </c>
      <c r="C263" t="s">
        <v>41</v>
      </c>
      <c r="D263">
        <v>5.8</v>
      </c>
      <c r="E263">
        <v>15</v>
      </c>
      <c r="F263">
        <v>1.7</v>
      </c>
      <c r="G263">
        <v>0.1</v>
      </c>
      <c r="H263">
        <v>0</v>
      </c>
      <c r="I263">
        <v>0</v>
      </c>
      <c r="J263">
        <v>529</v>
      </c>
      <c r="K263">
        <v>3</v>
      </c>
      <c r="L263">
        <v>4</v>
      </c>
      <c r="M263">
        <v>0</v>
      </c>
      <c r="N263">
        <v>0</v>
      </c>
      <c r="O263">
        <v>27.8</v>
      </c>
      <c r="P263">
        <v>1.5</v>
      </c>
      <c r="Q263">
        <v>0</v>
      </c>
      <c r="R263">
        <v>0.3</v>
      </c>
      <c r="S263">
        <v>2.6</v>
      </c>
      <c r="T263">
        <v>1.39</v>
      </c>
      <c r="U263">
        <v>1.02</v>
      </c>
      <c r="V263">
        <v>2.41</v>
      </c>
      <c r="W263">
        <v>6.47</v>
      </c>
      <c r="X263">
        <v>7</v>
      </c>
      <c r="Y263" t="s">
        <v>1000</v>
      </c>
      <c r="Z263">
        <v>117</v>
      </c>
      <c r="AA263">
        <v>76</v>
      </c>
      <c r="AB263">
        <v>232</v>
      </c>
      <c r="AC263">
        <v>112</v>
      </c>
      <c r="AD263">
        <v>315</v>
      </c>
      <c r="AE263">
        <v>145</v>
      </c>
      <c r="AF263">
        <v>404</v>
      </c>
      <c r="AG263">
        <v>136</v>
      </c>
      <c r="AH263">
        <f>fpl_player_statistics_cleaned[[#This Row],[Total Points]] / fpl_player_statistics_cleaned[[#This Row],[Now Cost]]</f>
        <v>2.5862068965517242</v>
      </c>
      <c r="AI263">
        <f>fpl_player_statistics_cleaned[[#This Row],[Goals Scored]] + fpl_player_statistics_cleaned[[#This Row],[Assists]]</f>
        <v>0</v>
      </c>
      <c r="AJ263">
        <f>fpl_player_statistics_cleaned[[#This Row],[Total Points]] / fpl_player_statistics_cleaned[[#This Row],[Starts]]</f>
        <v>2.1428571428571428</v>
      </c>
      <c r="AK263">
        <f>((fpl_player_statistics_cleaned[[#This Row],[Points Per Game]]) * fpl_player_statistics_cleaned[[#This Row],[Form]]) / fpl_player_statistics_cleaned[[#This Row],[Now Cost]]</f>
        <v>0.43965517241379309</v>
      </c>
      <c r="AL263">
        <f>fpl_player_statistics_cleaned[[#This Row],[Minutes]] / fpl_player_statistics_cleaned[[#This Row],[Total Points]]</f>
        <v>35.266666666666666</v>
      </c>
      <c r="AM26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6.5948275862068968</v>
      </c>
    </row>
    <row r="264" spans="1:39" x14ac:dyDescent="0.2">
      <c r="A264" t="s">
        <v>296</v>
      </c>
      <c r="B264" t="s">
        <v>153</v>
      </c>
      <c r="C264" t="s">
        <v>38</v>
      </c>
      <c r="D264">
        <v>4.5</v>
      </c>
      <c r="E264">
        <v>14</v>
      </c>
      <c r="F264">
        <v>1.4</v>
      </c>
      <c r="G264">
        <v>0</v>
      </c>
      <c r="H264">
        <v>0</v>
      </c>
      <c r="I264">
        <v>0</v>
      </c>
      <c r="J264">
        <v>517</v>
      </c>
      <c r="K264">
        <v>0</v>
      </c>
      <c r="L264">
        <v>15</v>
      </c>
      <c r="M264">
        <v>0</v>
      </c>
      <c r="N264">
        <v>0</v>
      </c>
      <c r="O264">
        <v>23</v>
      </c>
      <c r="P264">
        <v>1.2</v>
      </c>
      <c r="Q264">
        <v>0</v>
      </c>
      <c r="R264">
        <v>0.3</v>
      </c>
      <c r="S264">
        <v>3.1</v>
      </c>
      <c r="T264">
        <v>0.26</v>
      </c>
      <c r="U264">
        <v>0.1</v>
      </c>
      <c r="V264">
        <v>0.36</v>
      </c>
      <c r="W264">
        <v>9.18</v>
      </c>
      <c r="X264">
        <v>4</v>
      </c>
      <c r="Y264" t="s">
        <v>1000</v>
      </c>
      <c r="Z264">
        <v>444</v>
      </c>
      <c r="AA264">
        <v>95</v>
      </c>
      <c r="AB264">
        <v>246</v>
      </c>
      <c r="AC264">
        <v>81</v>
      </c>
      <c r="AD264">
        <v>338</v>
      </c>
      <c r="AE264">
        <v>121</v>
      </c>
      <c r="AF264">
        <v>652</v>
      </c>
      <c r="AG264">
        <v>224</v>
      </c>
      <c r="AH264">
        <f>fpl_player_statistics_cleaned[[#This Row],[Total Points]] / fpl_player_statistics_cleaned[[#This Row],[Now Cost]]</f>
        <v>3.1111111111111112</v>
      </c>
      <c r="AI264">
        <f>fpl_player_statistics_cleaned[[#This Row],[Goals Scored]] + fpl_player_statistics_cleaned[[#This Row],[Assists]]</f>
        <v>0</v>
      </c>
      <c r="AJ264">
        <f>fpl_player_statistics_cleaned[[#This Row],[Total Points]] / fpl_player_statistics_cleaned[[#This Row],[Starts]]</f>
        <v>3.5</v>
      </c>
      <c r="AK264">
        <f>((fpl_player_statistics_cleaned[[#This Row],[Points Per Game]]) * fpl_player_statistics_cleaned[[#This Row],[Form]]) / fpl_player_statistics_cleaned[[#This Row],[Now Cost]]</f>
        <v>0.37333333333333329</v>
      </c>
      <c r="AL264">
        <f>fpl_player_statistics_cleaned[[#This Row],[Minutes]] / fpl_player_statistics_cleaned[[#This Row],[Total Points]]</f>
        <v>36.928571428571431</v>
      </c>
      <c r="AM26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5.2266666666666666</v>
      </c>
    </row>
    <row r="265" spans="1:39" x14ac:dyDescent="0.2">
      <c r="A265" t="s">
        <v>297</v>
      </c>
      <c r="B265" t="s">
        <v>37</v>
      </c>
      <c r="C265" t="s">
        <v>38</v>
      </c>
      <c r="D265">
        <v>5.4</v>
      </c>
      <c r="E265">
        <v>14</v>
      </c>
      <c r="F265">
        <v>2</v>
      </c>
      <c r="G265">
        <v>0.2</v>
      </c>
      <c r="H265">
        <v>0</v>
      </c>
      <c r="I265">
        <v>0</v>
      </c>
      <c r="J265">
        <v>294</v>
      </c>
      <c r="K265">
        <v>1</v>
      </c>
      <c r="L265">
        <v>3</v>
      </c>
      <c r="M265">
        <v>0</v>
      </c>
      <c r="N265">
        <v>1</v>
      </c>
      <c r="O265">
        <v>9</v>
      </c>
      <c r="P265">
        <v>0.5</v>
      </c>
      <c r="Q265">
        <v>0</v>
      </c>
      <c r="R265">
        <v>0.1</v>
      </c>
      <c r="S265">
        <v>2.6</v>
      </c>
      <c r="T265">
        <v>0</v>
      </c>
      <c r="U265">
        <v>0.09</v>
      </c>
      <c r="V265">
        <v>0.09</v>
      </c>
      <c r="W265">
        <v>1.63</v>
      </c>
      <c r="X265">
        <v>2</v>
      </c>
      <c r="Y265" t="s">
        <v>1000</v>
      </c>
      <c r="Z265">
        <v>181</v>
      </c>
      <c r="AA265">
        <v>23</v>
      </c>
      <c r="AB265">
        <v>334</v>
      </c>
      <c r="AC265">
        <v>112</v>
      </c>
      <c r="AD265">
        <v>281</v>
      </c>
      <c r="AE265">
        <v>102</v>
      </c>
      <c r="AF265">
        <v>396</v>
      </c>
      <c r="AG265">
        <v>147</v>
      </c>
      <c r="AH265">
        <f>fpl_player_statistics_cleaned[[#This Row],[Total Points]] / fpl_player_statistics_cleaned[[#This Row],[Now Cost]]</f>
        <v>2.5925925925925926</v>
      </c>
      <c r="AI265">
        <f>fpl_player_statistics_cleaned[[#This Row],[Goals Scored]] + fpl_player_statistics_cleaned[[#This Row],[Assists]]</f>
        <v>0</v>
      </c>
      <c r="AJ265">
        <f>fpl_player_statistics_cleaned[[#This Row],[Total Points]] / fpl_player_statistics_cleaned[[#This Row],[Starts]]</f>
        <v>7</v>
      </c>
      <c r="AK265">
        <f>((fpl_player_statistics_cleaned[[#This Row],[Points Per Game]]) * fpl_player_statistics_cleaned[[#This Row],[Form]]) / fpl_player_statistics_cleaned[[#This Row],[Now Cost]]</f>
        <v>0.18518518518518517</v>
      </c>
      <c r="AL265">
        <f>fpl_player_statistics_cleaned[[#This Row],[Minutes]] / fpl_player_statistics_cleaned[[#This Row],[Total Points]]</f>
        <v>21</v>
      </c>
      <c r="AM26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2.5925925925925926</v>
      </c>
    </row>
    <row r="266" spans="1:39" x14ac:dyDescent="0.2">
      <c r="A266" t="s">
        <v>298</v>
      </c>
      <c r="B266" t="s">
        <v>70</v>
      </c>
      <c r="C266" t="s">
        <v>41</v>
      </c>
      <c r="D266">
        <v>6.2</v>
      </c>
      <c r="E266">
        <v>14</v>
      </c>
      <c r="F266">
        <v>1.4</v>
      </c>
      <c r="G266">
        <v>0</v>
      </c>
      <c r="H266">
        <v>0</v>
      </c>
      <c r="I266">
        <v>0</v>
      </c>
      <c r="J266">
        <v>420</v>
      </c>
      <c r="K266">
        <v>1</v>
      </c>
      <c r="L266">
        <v>6</v>
      </c>
      <c r="M266">
        <v>0</v>
      </c>
      <c r="N266">
        <v>0</v>
      </c>
      <c r="O266">
        <v>14.7</v>
      </c>
      <c r="P266">
        <v>1.2</v>
      </c>
      <c r="Q266">
        <v>0</v>
      </c>
      <c r="R266">
        <v>0.2</v>
      </c>
      <c r="S266">
        <v>2.2999999999999998</v>
      </c>
      <c r="T266">
        <v>0.38</v>
      </c>
      <c r="U266">
        <v>0.37</v>
      </c>
      <c r="V266">
        <v>0.75</v>
      </c>
      <c r="W266">
        <v>6.82</v>
      </c>
      <c r="X266">
        <v>5</v>
      </c>
      <c r="Y266" t="s">
        <v>1000</v>
      </c>
      <c r="Z266">
        <v>81</v>
      </c>
      <c r="AA266">
        <v>54</v>
      </c>
      <c r="AB266">
        <v>258</v>
      </c>
      <c r="AC266">
        <v>125</v>
      </c>
      <c r="AD266">
        <v>348</v>
      </c>
      <c r="AE266">
        <v>165</v>
      </c>
      <c r="AF266">
        <v>597</v>
      </c>
      <c r="AG266">
        <v>234</v>
      </c>
      <c r="AH266">
        <f>fpl_player_statistics_cleaned[[#This Row],[Total Points]] / fpl_player_statistics_cleaned[[#This Row],[Now Cost]]</f>
        <v>2.258064516129032</v>
      </c>
      <c r="AI266">
        <f>fpl_player_statistics_cleaned[[#This Row],[Goals Scored]] + fpl_player_statistics_cleaned[[#This Row],[Assists]]</f>
        <v>0</v>
      </c>
      <c r="AJ266">
        <f>fpl_player_statistics_cleaned[[#This Row],[Total Points]] / fpl_player_statistics_cleaned[[#This Row],[Starts]]</f>
        <v>2.8</v>
      </c>
      <c r="AK266">
        <f>((fpl_player_statistics_cleaned[[#This Row],[Points Per Game]]) * fpl_player_statistics_cleaned[[#This Row],[Form]]) / fpl_player_statistics_cleaned[[#This Row],[Now Cost]]</f>
        <v>0.27096774193548384</v>
      </c>
      <c r="AL266">
        <f>fpl_player_statistics_cleaned[[#This Row],[Minutes]] / fpl_player_statistics_cleaned[[#This Row],[Total Points]]</f>
        <v>30</v>
      </c>
      <c r="AM26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3.7935483870967741</v>
      </c>
    </row>
    <row r="267" spans="1:39" x14ac:dyDescent="0.2">
      <c r="A267" t="s">
        <v>299</v>
      </c>
      <c r="B267" t="s">
        <v>97</v>
      </c>
      <c r="C267" t="s">
        <v>38</v>
      </c>
      <c r="D267">
        <v>4.3</v>
      </c>
      <c r="E267">
        <v>14</v>
      </c>
      <c r="F267">
        <v>2</v>
      </c>
      <c r="G267">
        <v>5.7</v>
      </c>
      <c r="H267">
        <v>0</v>
      </c>
      <c r="I267">
        <v>1</v>
      </c>
      <c r="J267">
        <v>561</v>
      </c>
      <c r="K267">
        <v>0</v>
      </c>
      <c r="L267">
        <v>16</v>
      </c>
      <c r="M267">
        <v>0</v>
      </c>
      <c r="N267">
        <v>0</v>
      </c>
      <c r="O267">
        <v>19</v>
      </c>
      <c r="P267">
        <v>3</v>
      </c>
      <c r="Q267">
        <v>0</v>
      </c>
      <c r="R267">
        <v>0.7</v>
      </c>
      <c r="S267">
        <v>3.3</v>
      </c>
      <c r="T267">
        <v>0</v>
      </c>
      <c r="U267">
        <v>0.25</v>
      </c>
      <c r="V267">
        <v>0.25</v>
      </c>
      <c r="W267">
        <v>9.93</v>
      </c>
      <c r="X267">
        <v>6</v>
      </c>
      <c r="Y267" t="s">
        <v>1000</v>
      </c>
      <c r="Z267">
        <v>584</v>
      </c>
      <c r="AA267">
        <v>143</v>
      </c>
      <c r="AB267">
        <v>121</v>
      </c>
      <c r="AC267">
        <v>44</v>
      </c>
      <c r="AD267">
        <v>271</v>
      </c>
      <c r="AE267">
        <v>97</v>
      </c>
      <c r="AF267">
        <v>63</v>
      </c>
      <c r="AG267">
        <v>20</v>
      </c>
      <c r="AH267">
        <f>fpl_player_statistics_cleaned[[#This Row],[Total Points]] / fpl_player_statistics_cleaned[[#This Row],[Now Cost]]</f>
        <v>3.2558139534883721</v>
      </c>
      <c r="AI267">
        <f>fpl_player_statistics_cleaned[[#This Row],[Goals Scored]] + fpl_player_statistics_cleaned[[#This Row],[Assists]]</f>
        <v>1</v>
      </c>
      <c r="AJ267">
        <f>fpl_player_statistics_cleaned[[#This Row],[Total Points]] / fpl_player_statistics_cleaned[[#This Row],[Starts]]</f>
        <v>2.3333333333333335</v>
      </c>
      <c r="AK267">
        <f>((fpl_player_statistics_cleaned[[#This Row],[Points Per Game]]) * fpl_player_statistics_cleaned[[#This Row],[Form]]) / fpl_player_statistics_cleaned[[#This Row],[Now Cost]]</f>
        <v>1.3953488372093024</v>
      </c>
      <c r="AL267">
        <f>fpl_player_statistics_cleaned[[#This Row],[Minutes]] / fpl_player_statistics_cleaned[[#This Row],[Total Points]]</f>
        <v>40.071428571428569</v>
      </c>
      <c r="AM26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19.534883720930232</v>
      </c>
    </row>
    <row r="268" spans="1:39" x14ac:dyDescent="0.2">
      <c r="A268" t="s">
        <v>300</v>
      </c>
      <c r="B268" t="s">
        <v>122</v>
      </c>
      <c r="C268" t="s">
        <v>35</v>
      </c>
      <c r="D268">
        <v>5.8</v>
      </c>
      <c r="E268">
        <v>14</v>
      </c>
      <c r="F268">
        <v>1.4</v>
      </c>
      <c r="G268">
        <v>0.7</v>
      </c>
      <c r="H268">
        <v>0</v>
      </c>
      <c r="I268">
        <v>1</v>
      </c>
      <c r="J268">
        <v>326</v>
      </c>
      <c r="K268">
        <v>0</v>
      </c>
      <c r="L268">
        <v>11</v>
      </c>
      <c r="M268">
        <v>0</v>
      </c>
      <c r="N268">
        <v>0</v>
      </c>
      <c r="O268">
        <v>16.100000000000001</v>
      </c>
      <c r="P268">
        <v>2</v>
      </c>
      <c r="Q268">
        <v>0</v>
      </c>
      <c r="R268">
        <v>0.3</v>
      </c>
      <c r="S268">
        <v>2.4</v>
      </c>
      <c r="T268">
        <v>1.87</v>
      </c>
      <c r="U268">
        <v>0.11</v>
      </c>
      <c r="V268">
        <v>1.98</v>
      </c>
      <c r="W268">
        <v>7.19</v>
      </c>
      <c r="X268">
        <v>3</v>
      </c>
      <c r="Y268" t="s">
        <v>1000</v>
      </c>
      <c r="Z268">
        <v>116</v>
      </c>
      <c r="AA268">
        <v>30</v>
      </c>
      <c r="AB268">
        <v>194</v>
      </c>
      <c r="AC268">
        <v>19</v>
      </c>
      <c r="AD268">
        <v>347</v>
      </c>
      <c r="AE268">
        <v>36</v>
      </c>
      <c r="AF268">
        <v>201</v>
      </c>
      <c r="AG268">
        <v>30</v>
      </c>
      <c r="AH268">
        <f>fpl_player_statistics_cleaned[[#This Row],[Total Points]] / fpl_player_statistics_cleaned[[#This Row],[Now Cost]]</f>
        <v>2.4137931034482758</v>
      </c>
      <c r="AI268">
        <f>fpl_player_statistics_cleaned[[#This Row],[Goals Scored]] + fpl_player_statistics_cleaned[[#This Row],[Assists]]</f>
        <v>1</v>
      </c>
      <c r="AJ268">
        <f>fpl_player_statistics_cleaned[[#This Row],[Total Points]] / fpl_player_statistics_cleaned[[#This Row],[Starts]]</f>
        <v>4.666666666666667</v>
      </c>
      <c r="AK268">
        <f>((fpl_player_statistics_cleaned[[#This Row],[Points Per Game]]) * fpl_player_statistics_cleaned[[#This Row],[Form]]) / fpl_player_statistics_cleaned[[#This Row],[Now Cost]]</f>
        <v>0.48275862068965514</v>
      </c>
      <c r="AL268">
        <f>fpl_player_statistics_cleaned[[#This Row],[Minutes]] / fpl_player_statistics_cleaned[[#This Row],[Total Points]]</f>
        <v>23.285714285714285</v>
      </c>
      <c r="AM26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6.7586206896551717</v>
      </c>
    </row>
    <row r="269" spans="1:39" x14ac:dyDescent="0.2">
      <c r="A269" t="s">
        <v>301</v>
      </c>
      <c r="B269" t="s">
        <v>43</v>
      </c>
      <c r="C269" t="s">
        <v>41</v>
      </c>
      <c r="D269">
        <v>4.8</v>
      </c>
      <c r="E269">
        <v>14</v>
      </c>
      <c r="F269">
        <v>1.6</v>
      </c>
      <c r="G269">
        <v>0.1</v>
      </c>
      <c r="H269">
        <v>0</v>
      </c>
      <c r="I269">
        <v>0</v>
      </c>
      <c r="J269">
        <v>446</v>
      </c>
      <c r="K269">
        <v>3</v>
      </c>
      <c r="L269">
        <v>3</v>
      </c>
      <c r="M269">
        <v>0</v>
      </c>
      <c r="N269">
        <v>0</v>
      </c>
      <c r="O269">
        <v>18.2</v>
      </c>
      <c r="P269">
        <v>0.8</v>
      </c>
      <c r="Q269">
        <v>0</v>
      </c>
      <c r="R269">
        <v>0.2</v>
      </c>
      <c r="S269">
        <v>2.9</v>
      </c>
      <c r="T269">
        <v>0.15</v>
      </c>
      <c r="U269">
        <v>0.6</v>
      </c>
      <c r="V269">
        <v>0.75</v>
      </c>
      <c r="W269">
        <v>4.92</v>
      </c>
      <c r="X269">
        <v>5</v>
      </c>
      <c r="Y269" t="s">
        <v>1000</v>
      </c>
      <c r="Z269">
        <v>352</v>
      </c>
      <c r="AA269">
        <v>223</v>
      </c>
      <c r="AB269">
        <v>289</v>
      </c>
      <c r="AC269">
        <v>139</v>
      </c>
      <c r="AD269">
        <v>321</v>
      </c>
      <c r="AE269">
        <v>149</v>
      </c>
      <c r="AF269">
        <v>469</v>
      </c>
      <c r="AG269">
        <v>158</v>
      </c>
      <c r="AH269">
        <f>fpl_player_statistics_cleaned[[#This Row],[Total Points]] / fpl_player_statistics_cleaned[[#This Row],[Now Cost]]</f>
        <v>2.916666666666667</v>
      </c>
      <c r="AI269">
        <f>fpl_player_statistics_cleaned[[#This Row],[Goals Scored]] + fpl_player_statistics_cleaned[[#This Row],[Assists]]</f>
        <v>0</v>
      </c>
      <c r="AJ269">
        <f>fpl_player_statistics_cleaned[[#This Row],[Total Points]] / fpl_player_statistics_cleaned[[#This Row],[Starts]]</f>
        <v>2.8</v>
      </c>
      <c r="AK269">
        <f>((fpl_player_statistics_cleaned[[#This Row],[Points Per Game]]) * fpl_player_statistics_cleaned[[#This Row],[Form]]) / fpl_player_statistics_cleaned[[#This Row],[Now Cost]]</f>
        <v>0.26666666666666672</v>
      </c>
      <c r="AL269">
        <f>fpl_player_statistics_cleaned[[#This Row],[Minutes]] / fpl_player_statistics_cleaned[[#This Row],[Total Points]]</f>
        <v>31.857142857142858</v>
      </c>
      <c r="AM26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3.7333333333333338</v>
      </c>
    </row>
    <row r="270" spans="1:39" x14ac:dyDescent="0.2">
      <c r="A270" t="s">
        <v>302</v>
      </c>
      <c r="B270" t="s">
        <v>47</v>
      </c>
      <c r="C270" t="s">
        <v>38</v>
      </c>
      <c r="D270">
        <v>4.3</v>
      </c>
      <c r="E270">
        <v>14</v>
      </c>
      <c r="F270">
        <v>2</v>
      </c>
      <c r="G270">
        <v>0.4</v>
      </c>
      <c r="H270">
        <v>0</v>
      </c>
      <c r="I270">
        <v>0</v>
      </c>
      <c r="J270">
        <v>377</v>
      </c>
      <c r="K270">
        <v>1</v>
      </c>
      <c r="L270">
        <v>6</v>
      </c>
      <c r="M270">
        <v>0</v>
      </c>
      <c r="N270">
        <v>0</v>
      </c>
      <c r="O270">
        <v>12.2</v>
      </c>
      <c r="P270">
        <v>0.8</v>
      </c>
      <c r="Q270">
        <v>0</v>
      </c>
      <c r="R270">
        <v>0.2</v>
      </c>
      <c r="S270">
        <v>3.3</v>
      </c>
      <c r="T270">
        <v>0.05</v>
      </c>
      <c r="U270">
        <v>7.0000000000000007E-2</v>
      </c>
      <c r="V270">
        <v>0.11</v>
      </c>
      <c r="W270">
        <v>5.39</v>
      </c>
      <c r="X270">
        <v>3</v>
      </c>
      <c r="Y270" t="s">
        <v>1000</v>
      </c>
      <c r="Z270">
        <v>573</v>
      </c>
      <c r="AA270">
        <v>134</v>
      </c>
      <c r="AB270">
        <v>284</v>
      </c>
      <c r="AC270">
        <v>94</v>
      </c>
      <c r="AD270">
        <v>270</v>
      </c>
      <c r="AE270">
        <v>96</v>
      </c>
      <c r="AF270">
        <v>272</v>
      </c>
      <c r="AG270">
        <v>102</v>
      </c>
      <c r="AH270">
        <f>fpl_player_statistics_cleaned[[#This Row],[Total Points]] / fpl_player_statistics_cleaned[[#This Row],[Now Cost]]</f>
        <v>3.2558139534883721</v>
      </c>
      <c r="AI270">
        <f>fpl_player_statistics_cleaned[[#This Row],[Goals Scored]] + fpl_player_statistics_cleaned[[#This Row],[Assists]]</f>
        <v>0</v>
      </c>
      <c r="AJ270">
        <f>fpl_player_statistics_cleaned[[#This Row],[Total Points]] / fpl_player_statistics_cleaned[[#This Row],[Starts]]</f>
        <v>4.666666666666667</v>
      </c>
      <c r="AK270">
        <f>((fpl_player_statistics_cleaned[[#This Row],[Points Per Game]]) * fpl_player_statistics_cleaned[[#This Row],[Form]]) / fpl_player_statistics_cleaned[[#This Row],[Now Cost]]</f>
        <v>0.372093023255814</v>
      </c>
      <c r="AL270">
        <f>fpl_player_statistics_cleaned[[#This Row],[Minutes]] / fpl_player_statistics_cleaned[[#This Row],[Total Points]]</f>
        <v>26.928571428571427</v>
      </c>
      <c r="AM27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5.2093023255813957</v>
      </c>
    </row>
    <row r="271" spans="1:39" x14ac:dyDescent="0.2">
      <c r="A271" t="s">
        <v>303</v>
      </c>
      <c r="B271" t="s">
        <v>72</v>
      </c>
      <c r="C271" t="s">
        <v>41</v>
      </c>
      <c r="D271">
        <v>4.4000000000000004</v>
      </c>
      <c r="E271">
        <v>14</v>
      </c>
      <c r="F271">
        <v>1.8</v>
      </c>
      <c r="G271">
        <v>2.1</v>
      </c>
      <c r="H271">
        <v>0</v>
      </c>
      <c r="I271">
        <v>1</v>
      </c>
      <c r="J271">
        <v>273</v>
      </c>
      <c r="K271">
        <v>1</v>
      </c>
      <c r="L271">
        <v>3</v>
      </c>
      <c r="M271">
        <v>0</v>
      </c>
      <c r="N271">
        <v>0</v>
      </c>
      <c r="O271">
        <v>10.9</v>
      </c>
      <c r="P271">
        <v>1.8</v>
      </c>
      <c r="Q271">
        <v>0</v>
      </c>
      <c r="R271">
        <v>0.4</v>
      </c>
      <c r="S271">
        <v>3.2</v>
      </c>
      <c r="T271">
        <v>0.03</v>
      </c>
      <c r="U271">
        <v>0.32</v>
      </c>
      <c r="V271">
        <v>0.35</v>
      </c>
      <c r="W271">
        <v>3.31</v>
      </c>
      <c r="X271">
        <v>2</v>
      </c>
      <c r="Y271" t="s">
        <v>1000</v>
      </c>
      <c r="Z271">
        <v>549</v>
      </c>
      <c r="AA271">
        <v>316</v>
      </c>
      <c r="AB271">
        <v>201</v>
      </c>
      <c r="AC271">
        <v>99</v>
      </c>
      <c r="AD271">
        <v>294</v>
      </c>
      <c r="AE271">
        <v>135</v>
      </c>
      <c r="AF271">
        <v>126</v>
      </c>
      <c r="AG271">
        <v>44</v>
      </c>
      <c r="AH271">
        <f>fpl_player_statistics_cleaned[[#This Row],[Total Points]] / fpl_player_statistics_cleaned[[#This Row],[Now Cost]]</f>
        <v>3.1818181818181817</v>
      </c>
      <c r="AI271">
        <f>fpl_player_statistics_cleaned[[#This Row],[Goals Scored]] + fpl_player_statistics_cleaned[[#This Row],[Assists]]</f>
        <v>1</v>
      </c>
      <c r="AJ271">
        <f>fpl_player_statistics_cleaned[[#This Row],[Total Points]] / fpl_player_statistics_cleaned[[#This Row],[Starts]]</f>
        <v>7</v>
      </c>
      <c r="AK271">
        <f>((fpl_player_statistics_cleaned[[#This Row],[Points Per Game]]) * fpl_player_statistics_cleaned[[#This Row],[Form]]) / fpl_player_statistics_cleaned[[#This Row],[Now Cost]]</f>
        <v>0.73636363636363633</v>
      </c>
      <c r="AL271">
        <f>fpl_player_statistics_cleaned[[#This Row],[Minutes]] / fpl_player_statistics_cleaned[[#This Row],[Total Points]]</f>
        <v>19.5</v>
      </c>
      <c r="AM27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10.309090909090909</v>
      </c>
    </row>
    <row r="272" spans="1:39" x14ac:dyDescent="0.2">
      <c r="A272" t="s">
        <v>304</v>
      </c>
      <c r="B272" t="s">
        <v>54</v>
      </c>
      <c r="C272" t="s">
        <v>41</v>
      </c>
      <c r="D272">
        <v>5.0999999999999996</v>
      </c>
      <c r="E272">
        <v>14</v>
      </c>
      <c r="F272">
        <v>2</v>
      </c>
      <c r="G272">
        <v>0.5</v>
      </c>
      <c r="H272">
        <v>0</v>
      </c>
      <c r="I272">
        <v>1</v>
      </c>
      <c r="J272">
        <v>297</v>
      </c>
      <c r="K272">
        <v>2</v>
      </c>
      <c r="L272">
        <v>5</v>
      </c>
      <c r="M272">
        <v>0</v>
      </c>
      <c r="N272">
        <v>0</v>
      </c>
      <c r="O272">
        <v>11.5</v>
      </c>
      <c r="P272">
        <v>0.2</v>
      </c>
      <c r="Q272">
        <v>0</v>
      </c>
      <c r="R272">
        <v>0</v>
      </c>
      <c r="S272">
        <v>2.7</v>
      </c>
      <c r="T272">
        <v>0.14000000000000001</v>
      </c>
      <c r="U272">
        <v>0.26</v>
      </c>
      <c r="V272">
        <v>0.4</v>
      </c>
      <c r="W272">
        <v>3.72</v>
      </c>
      <c r="X272">
        <v>4</v>
      </c>
      <c r="Y272" t="s">
        <v>1000</v>
      </c>
      <c r="Z272">
        <v>237</v>
      </c>
      <c r="AA272">
        <v>148</v>
      </c>
      <c r="AB272">
        <v>372</v>
      </c>
      <c r="AC272">
        <v>177</v>
      </c>
      <c r="AD272">
        <v>279</v>
      </c>
      <c r="AE272">
        <v>126</v>
      </c>
      <c r="AF272">
        <v>232</v>
      </c>
      <c r="AG272">
        <v>82</v>
      </c>
      <c r="AH272">
        <f>fpl_player_statistics_cleaned[[#This Row],[Total Points]] / fpl_player_statistics_cleaned[[#This Row],[Now Cost]]</f>
        <v>2.7450980392156863</v>
      </c>
      <c r="AI272">
        <f>fpl_player_statistics_cleaned[[#This Row],[Goals Scored]] + fpl_player_statistics_cleaned[[#This Row],[Assists]]</f>
        <v>1</v>
      </c>
      <c r="AJ272">
        <f>fpl_player_statistics_cleaned[[#This Row],[Total Points]] / fpl_player_statistics_cleaned[[#This Row],[Starts]]</f>
        <v>3.5</v>
      </c>
      <c r="AK272">
        <f>((fpl_player_statistics_cleaned[[#This Row],[Points Per Game]]) * fpl_player_statistics_cleaned[[#This Row],[Form]]) / fpl_player_statistics_cleaned[[#This Row],[Now Cost]]</f>
        <v>7.8431372549019621E-2</v>
      </c>
      <c r="AL272">
        <f>fpl_player_statistics_cleaned[[#This Row],[Minutes]] / fpl_player_statistics_cleaned[[#This Row],[Total Points]]</f>
        <v>21.214285714285715</v>
      </c>
      <c r="AM27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1.0980392156862746</v>
      </c>
    </row>
    <row r="273" spans="1:39" x14ac:dyDescent="0.2">
      <c r="A273" t="s">
        <v>940</v>
      </c>
      <c r="B273" t="s">
        <v>40</v>
      </c>
      <c r="C273" t="s">
        <v>38</v>
      </c>
      <c r="D273">
        <v>4.5</v>
      </c>
      <c r="E273">
        <v>13</v>
      </c>
      <c r="F273">
        <v>3.2</v>
      </c>
      <c r="G273">
        <v>0</v>
      </c>
      <c r="H273">
        <v>0</v>
      </c>
      <c r="I273">
        <v>0</v>
      </c>
      <c r="J273">
        <v>275</v>
      </c>
      <c r="K273">
        <v>1</v>
      </c>
      <c r="L273">
        <v>5</v>
      </c>
      <c r="M273">
        <v>0</v>
      </c>
      <c r="N273">
        <v>0</v>
      </c>
      <c r="O273">
        <v>9</v>
      </c>
      <c r="P273">
        <v>2</v>
      </c>
      <c r="Q273">
        <v>0</v>
      </c>
      <c r="R273">
        <v>0.4</v>
      </c>
      <c r="S273">
        <v>2.9</v>
      </c>
      <c r="T273">
        <v>0</v>
      </c>
      <c r="U273">
        <v>0.18</v>
      </c>
      <c r="V273">
        <v>0.18</v>
      </c>
      <c r="W273">
        <v>2.91</v>
      </c>
      <c r="X273">
        <v>3</v>
      </c>
      <c r="Y273" t="s">
        <v>1000</v>
      </c>
      <c r="Z273">
        <v>484</v>
      </c>
      <c r="AA273">
        <v>100</v>
      </c>
      <c r="AB273">
        <v>183</v>
      </c>
      <c r="AC273">
        <v>63</v>
      </c>
      <c r="AD273">
        <v>144</v>
      </c>
      <c r="AE273">
        <v>52</v>
      </c>
      <c r="AF273">
        <v>611</v>
      </c>
      <c r="AG273">
        <v>214</v>
      </c>
      <c r="AH273">
        <f>fpl_player_statistics_cleaned[[#This Row],[Total Points]] / fpl_player_statistics_cleaned[[#This Row],[Now Cost]]</f>
        <v>2.8888888888888888</v>
      </c>
      <c r="AI273">
        <f>fpl_player_statistics_cleaned[[#This Row],[Goals Scored]] + fpl_player_statistics_cleaned[[#This Row],[Assists]]</f>
        <v>0</v>
      </c>
      <c r="AJ273">
        <f>fpl_player_statistics_cleaned[[#This Row],[Total Points]] / fpl_player_statistics_cleaned[[#This Row],[Starts]]</f>
        <v>4.333333333333333</v>
      </c>
      <c r="AK273">
        <f>((fpl_player_statistics_cleaned[[#This Row],[Points Per Game]]) * fpl_player_statistics_cleaned[[#This Row],[Form]]) / fpl_player_statistics_cleaned[[#This Row],[Now Cost]]</f>
        <v>1.4222222222222223</v>
      </c>
      <c r="AL273">
        <f>fpl_player_statistics_cleaned[[#This Row],[Minutes]] / fpl_player_statistics_cleaned[[#This Row],[Total Points]]</f>
        <v>21.153846153846153</v>
      </c>
      <c r="AM27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18.488888888888891</v>
      </c>
    </row>
    <row r="274" spans="1:39" hidden="1" x14ac:dyDescent="0.2">
      <c r="A274" t="s">
        <v>305</v>
      </c>
      <c r="B274" t="s">
        <v>153</v>
      </c>
      <c r="C274" t="s">
        <v>38</v>
      </c>
      <c r="D274">
        <v>4.5</v>
      </c>
      <c r="E274">
        <v>13</v>
      </c>
      <c r="F274">
        <v>2.2000000000000002</v>
      </c>
      <c r="G274">
        <v>0.1</v>
      </c>
      <c r="H274">
        <v>1</v>
      </c>
      <c r="I274">
        <v>0</v>
      </c>
      <c r="J274">
        <v>331</v>
      </c>
      <c r="K274">
        <v>0</v>
      </c>
      <c r="L274">
        <v>9</v>
      </c>
      <c r="M274">
        <v>0</v>
      </c>
      <c r="N274">
        <v>0</v>
      </c>
      <c r="O274">
        <v>20.5</v>
      </c>
      <c r="P274">
        <v>0.8</v>
      </c>
      <c r="Q274">
        <v>0</v>
      </c>
      <c r="R274">
        <v>0.2</v>
      </c>
      <c r="S274">
        <v>2.9</v>
      </c>
      <c r="T274">
        <v>0.95</v>
      </c>
      <c r="U274">
        <v>0.22</v>
      </c>
      <c r="V274">
        <v>1.17</v>
      </c>
      <c r="W274">
        <v>4.3</v>
      </c>
      <c r="X274">
        <v>4</v>
      </c>
      <c r="Y274" t="s">
        <v>306</v>
      </c>
      <c r="Z274">
        <v>432</v>
      </c>
      <c r="AA274">
        <v>90</v>
      </c>
      <c r="AB274">
        <v>288</v>
      </c>
      <c r="AC274">
        <v>98</v>
      </c>
      <c r="AD274">
        <v>237</v>
      </c>
      <c r="AE274">
        <v>86</v>
      </c>
      <c r="AF274">
        <v>509</v>
      </c>
      <c r="AG274">
        <v>186</v>
      </c>
      <c r="AI274">
        <v>2.558139534883721</v>
      </c>
    </row>
    <row r="275" spans="1:39" hidden="1" x14ac:dyDescent="0.2">
      <c r="A275" t="s">
        <v>941</v>
      </c>
      <c r="B275" t="s">
        <v>37</v>
      </c>
      <c r="C275" t="s">
        <v>41</v>
      </c>
      <c r="D275">
        <v>7.8</v>
      </c>
      <c r="E275">
        <v>13</v>
      </c>
      <c r="F275">
        <v>2.2000000000000002</v>
      </c>
      <c r="G275">
        <v>1.4</v>
      </c>
      <c r="H275">
        <v>0</v>
      </c>
      <c r="I275">
        <v>1</v>
      </c>
      <c r="J275">
        <v>201</v>
      </c>
      <c r="K275">
        <v>1</v>
      </c>
      <c r="L275">
        <v>1</v>
      </c>
      <c r="M275">
        <v>0</v>
      </c>
      <c r="N275">
        <v>0</v>
      </c>
      <c r="O275">
        <v>13</v>
      </c>
      <c r="P275">
        <v>0</v>
      </c>
      <c r="Q275">
        <v>0</v>
      </c>
      <c r="R275">
        <v>0</v>
      </c>
      <c r="S275">
        <v>1.7</v>
      </c>
      <c r="T275">
        <v>0.14000000000000001</v>
      </c>
      <c r="U275">
        <v>0.81</v>
      </c>
      <c r="V275">
        <v>0.95</v>
      </c>
      <c r="W275">
        <v>2.36</v>
      </c>
      <c r="X275">
        <v>4</v>
      </c>
      <c r="Y275" t="s">
        <v>307</v>
      </c>
      <c r="Z275">
        <v>19</v>
      </c>
      <c r="AA275">
        <v>13</v>
      </c>
      <c r="AB275">
        <v>747</v>
      </c>
      <c r="AC275">
        <v>331</v>
      </c>
      <c r="AD275">
        <v>253</v>
      </c>
      <c r="AE275">
        <v>118</v>
      </c>
      <c r="AF275">
        <v>154</v>
      </c>
      <c r="AG275">
        <v>54</v>
      </c>
      <c r="AI275">
        <v>2.1153846153846154</v>
      </c>
    </row>
    <row r="276" spans="1:39" x14ac:dyDescent="0.2">
      <c r="A276" t="s">
        <v>308</v>
      </c>
      <c r="B276" t="s">
        <v>63</v>
      </c>
      <c r="C276" t="s">
        <v>41</v>
      </c>
      <c r="D276">
        <v>5.4</v>
      </c>
      <c r="E276">
        <v>13</v>
      </c>
      <c r="F276">
        <v>1.4</v>
      </c>
      <c r="G276">
        <v>0.1</v>
      </c>
      <c r="H276">
        <v>0</v>
      </c>
      <c r="I276">
        <v>1</v>
      </c>
      <c r="J276">
        <v>338</v>
      </c>
      <c r="K276">
        <v>0</v>
      </c>
      <c r="L276">
        <v>9</v>
      </c>
      <c r="M276">
        <v>0</v>
      </c>
      <c r="N276">
        <v>0</v>
      </c>
      <c r="O276">
        <v>15.8</v>
      </c>
      <c r="P276">
        <v>0.8</v>
      </c>
      <c r="Q276">
        <v>0</v>
      </c>
      <c r="R276">
        <v>0.1</v>
      </c>
      <c r="S276">
        <v>2.4</v>
      </c>
      <c r="T276">
        <v>0.32</v>
      </c>
      <c r="U276">
        <v>0.96</v>
      </c>
      <c r="V276">
        <v>1.28</v>
      </c>
      <c r="W276">
        <v>6.5</v>
      </c>
      <c r="X276">
        <v>2</v>
      </c>
      <c r="Y276" t="s">
        <v>1000</v>
      </c>
      <c r="Z276">
        <v>166</v>
      </c>
      <c r="AA276">
        <v>102</v>
      </c>
      <c r="AB276">
        <v>297</v>
      </c>
      <c r="AC276">
        <v>146</v>
      </c>
      <c r="AD276">
        <v>346</v>
      </c>
      <c r="AE276">
        <v>164</v>
      </c>
      <c r="AF276">
        <v>514</v>
      </c>
      <c r="AG276">
        <v>181</v>
      </c>
      <c r="AH276">
        <f>fpl_player_statistics_cleaned[[#This Row],[Total Points]] / fpl_player_statistics_cleaned[[#This Row],[Now Cost]]</f>
        <v>2.4074074074074074</v>
      </c>
      <c r="AI276">
        <f>fpl_player_statistics_cleaned[[#This Row],[Goals Scored]] + fpl_player_statistics_cleaned[[#This Row],[Assists]]</f>
        <v>1</v>
      </c>
      <c r="AJ276">
        <f>fpl_player_statistics_cleaned[[#This Row],[Total Points]] / fpl_player_statistics_cleaned[[#This Row],[Starts]]</f>
        <v>6.5</v>
      </c>
      <c r="AK276">
        <f>((fpl_player_statistics_cleaned[[#This Row],[Points Per Game]]) * fpl_player_statistics_cleaned[[#This Row],[Form]]) / fpl_player_statistics_cleaned[[#This Row],[Now Cost]]</f>
        <v>0.20740740740740737</v>
      </c>
      <c r="AL276">
        <f>fpl_player_statistics_cleaned[[#This Row],[Minutes]] / fpl_player_statistics_cleaned[[#This Row],[Total Points]]</f>
        <v>26</v>
      </c>
      <c r="AM27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2.6962962962962962</v>
      </c>
    </row>
    <row r="277" spans="1:39" x14ac:dyDescent="0.2">
      <c r="A277" t="s">
        <v>942</v>
      </c>
      <c r="B277" t="s">
        <v>54</v>
      </c>
      <c r="C277" t="s">
        <v>41</v>
      </c>
      <c r="D277">
        <v>5.5</v>
      </c>
      <c r="E277">
        <v>13</v>
      </c>
      <c r="F277">
        <v>2.2000000000000002</v>
      </c>
      <c r="G277">
        <v>0</v>
      </c>
      <c r="H277">
        <v>0</v>
      </c>
      <c r="I277">
        <v>1</v>
      </c>
      <c r="J277">
        <v>358</v>
      </c>
      <c r="K277">
        <v>1</v>
      </c>
      <c r="L277">
        <v>5</v>
      </c>
      <c r="M277">
        <v>0</v>
      </c>
      <c r="N277">
        <v>0</v>
      </c>
      <c r="O277">
        <v>17.899999999999999</v>
      </c>
      <c r="P277">
        <v>3</v>
      </c>
      <c r="Q277">
        <v>0</v>
      </c>
      <c r="R277">
        <v>0.5</v>
      </c>
      <c r="S277">
        <v>2.4</v>
      </c>
      <c r="T277">
        <v>0.39</v>
      </c>
      <c r="U277">
        <v>0.14000000000000001</v>
      </c>
      <c r="V277">
        <v>0.53</v>
      </c>
      <c r="W277">
        <v>5.59</v>
      </c>
      <c r="X277">
        <v>5</v>
      </c>
      <c r="Y277" t="s">
        <v>1000</v>
      </c>
      <c r="Z277">
        <v>134</v>
      </c>
      <c r="AA277">
        <v>86</v>
      </c>
      <c r="AB277">
        <v>129</v>
      </c>
      <c r="AC277">
        <v>60</v>
      </c>
      <c r="AD277">
        <v>248</v>
      </c>
      <c r="AE277">
        <v>114</v>
      </c>
      <c r="AF277">
        <v>577</v>
      </c>
      <c r="AG277">
        <v>216</v>
      </c>
      <c r="AH277">
        <f>fpl_player_statistics_cleaned[[#This Row],[Total Points]] / fpl_player_statistics_cleaned[[#This Row],[Now Cost]]</f>
        <v>2.3636363636363638</v>
      </c>
      <c r="AI277">
        <f>fpl_player_statistics_cleaned[[#This Row],[Goals Scored]] + fpl_player_statistics_cleaned[[#This Row],[Assists]]</f>
        <v>1</v>
      </c>
      <c r="AJ277">
        <f>fpl_player_statistics_cleaned[[#This Row],[Total Points]] / fpl_player_statistics_cleaned[[#This Row],[Starts]]</f>
        <v>2.6</v>
      </c>
      <c r="AK277">
        <f>((fpl_player_statistics_cleaned[[#This Row],[Points Per Game]]) * fpl_player_statistics_cleaned[[#This Row],[Form]]) / fpl_player_statistics_cleaned[[#This Row],[Now Cost]]</f>
        <v>1.2000000000000002</v>
      </c>
      <c r="AL277">
        <f>fpl_player_statistics_cleaned[[#This Row],[Minutes]] / fpl_player_statistics_cleaned[[#This Row],[Total Points]]</f>
        <v>27.53846153846154</v>
      </c>
      <c r="AM27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15.600000000000001</v>
      </c>
    </row>
    <row r="278" spans="1:39" x14ac:dyDescent="0.2">
      <c r="A278" t="s">
        <v>309</v>
      </c>
      <c r="B278" t="s">
        <v>54</v>
      </c>
      <c r="C278" t="s">
        <v>35</v>
      </c>
      <c r="D278">
        <v>5.5</v>
      </c>
      <c r="E278">
        <v>13</v>
      </c>
      <c r="F278">
        <v>2.2000000000000002</v>
      </c>
      <c r="G278">
        <v>0.1</v>
      </c>
      <c r="H278">
        <v>1</v>
      </c>
      <c r="I278">
        <v>1</v>
      </c>
      <c r="J278">
        <v>106</v>
      </c>
      <c r="K278">
        <v>0</v>
      </c>
      <c r="L278">
        <v>1</v>
      </c>
      <c r="M278">
        <v>0</v>
      </c>
      <c r="N278">
        <v>0</v>
      </c>
      <c r="O278">
        <v>9.4</v>
      </c>
      <c r="P278">
        <v>2.5</v>
      </c>
      <c r="Q278">
        <v>0</v>
      </c>
      <c r="R278">
        <v>0.5</v>
      </c>
      <c r="S278">
        <v>2.4</v>
      </c>
      <c r="T278">
        <v>0.11</v>
      </c>
      <c r="U278">
        <v>0.04</v>
      </c>
      <c r="V278">
        <v>0.15</v>
      </c>
      <c r="W278">
        <v>2.2799999999999998</v>
      </c>
      <c r="X278">
        <v>0</v>
      </c>
      <c r="Y278" t="s">
        <v>1000</v>
      </c>
      <c r="Z278">
        <v>146</v>
      </c>
      <c r="AA278">
        <v>35</v>
      </c>
      <c r="AB278">
        <v>157</v>
      </c>
      <c r="AC278">
        <v>17</v>
      </c>
      <c r="AD278">
        <v>249</v>
      </c>
      <c r="AE278">
        <v>26</v>
      </c>
      <c r="AF278">
        <v>472</v>
      </c>
      <c r="AG278">
        <v>66</v>
      </c>
      <c r="AH278">
        <f>fpl_player_statistics_cleaned[[#This Row],[Total Points]] / fpl_player_statistics_cleaned[[#This Row],[Now Cost]]</f>
        <v>2.3636363636363638</v>
      </c>
      <c r="AI278">
        <f>fpl_player_statistics_cleaned[[#This Row],[Goals Scored]] + fpl_player_statistics_cleaned[[#This Row],[Assists]]</f>
        <v>2</v>
      </c>
      <c r="AJ278" t="e">
        <f>fpl_player_statistics_cleaned[[#This Row],[Total Points]] / fpl_player_statistics_cleaned[[#This Row],[Starts]]</f>
        <v>#DIV/0!</v>
      </c>
      <c r="AK278">
        <f>((fpl_player_statistics_cleaned[[#This Row],[Points Per Game]]) * fpl_player_statistics_cleaned[[#This Row],[Form]]) / fpl_player_statistics_cleaned[[#This Row],[Now Cost]]</f>
        <v>1</v>
      </c>
      <c r="AL278">
        <f>fpl_player_statistics_cleaned[[#This Row],[Minutes]] / fpl_player_statistics_cleaned[[#This Row],[Total Points]]</f>
        <v>8.1538461538461533</v>
      </c>
      <c r="AM27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13.000000000000002</v>
      </c>
    </row>
    <row r="279" spans="1:39" x14ac:dyDescent="0.2">
      <c r="A279" t="s">
        <v>310</v>
      </c>
      <c r="B279" t="s">
        <v>153</v>
      </c>
      <c r="C279" t="s">
        <v>41</v>
      </c>
      <c r="D279">
        <v>5.2</v>
      </c>
      <c r="E279">
        <v>13</v>
      </c>
      <c r="F279">
        <v>1.3</v>
      </c>
      <c r="G279">
        <v>0</v>
      </c>
      <c r="H279">
        <v>0</v>
      </c>
      <c r="I279">
        <v>0</v>
      </c>
      <c r="J279">
        <v>474</v>
      </c>
      <c r="K279">
        <v>0</v>
      </c>
      <c r="L279">
        <v>16</v>
      </c>
      <c r="M279">
        <v>0</v>
      </c>
      <c r="N279">
        <v>0</v>
      </c>
      <c r="O279">
        <v>18.5</v>
      </c>
      <c r="P279">
        <v>1.2</v>
      </c>
      <c r="Q279">
        <v>0</v>
      </c>
      <c r="R279">
        <v>0.2</v>
      </c>
      <c r="S279">
        <v>2.5</v>
      </c>
      <c r="T279">
        <v>0.41</v>
      </c>
      <c r="U279">
        <v>0.44</v>
      </c>
      <c r="V279">
        <v>0.85</v>
      </c>
      <c r="W279">
        <v>8.09</v>
      </c>
      <c r="X279">
        <v>6</v>
      </c>
      <c r="Y279" t="s">
        <v>1000</v>
      </c>
      <c r="Z279">
        <v>220</v>
      </c>
      <c r="AA279">
        <v>137</v>
      </c>
      <c r="AB279">
        <v>256</v>
      </c>
      <c r="AC279">
        <v>123</v>
      </c>
      <c r="AD279">
        <v>355</v>
      </c>
      <c r="AE279">
        <v>169</v>
      </c>
      <c r="AF279">
        <v>580</v>
      </c>
      <c r="AG279">
        <v>219</v>
      </c>
      <c r="AH279">
        <f>fpl_player_statistics_cleaned[[#This Row],[Total Points]] / fpl_player_statistics_cleaned[[#This Row],[Now Cost]]</f>
        <v>2.5</v>
      </c>
      <c r="AI279">
        <f>fpl_player_statistics_cleaned[[#This Row],[Goals Scored]] + fpl_player_statistics_cleaned[[#This Row],[Assists]]</f>
        <v>0</v>
      </c>
      <c r="AJ279">
        <f>fpl_player_statistics_cleaned[[#This Row],[Total Points]] / fpl_player_statistics_cleaned[[#This Row],[Starts]]</f>
        <v>2.1666666666666665</v>
      </c>
      <c r="AK279">
        <f>((fpl_player_statistics_cleaned[[#This Row],[Points Per Game]]) * fpl_player_statistics_cleaned[[#This Row],[Form]]) / fpl_player_statistics_cleaned[[#This Row],[Now Cost]]</f>
        <v>0.3</v>
      </c>
      <c r="AL279">
        <f>fpl_player_statistics_cleaned[[#This Row],[Minutes]] / fpl_player_statistics_cleaned[[#This Row],[Total Points]]</f>
        <v>36.46153846153846</v>
      </c>
      <c r="AM27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3.9000000000000004</v>
      </c>
    </row>
    <row r="280" spans="1:39" x14ac:dyDescent="0.2">
      <c r="A280" t="s">
        <v>311</v>
      </c>
      <c r="B280" t="s">
        <v>49</v>
      </c>
      <c r="C280" t="s">
        <v>41</v>
      </c>
      <c r="D280">
        <v>4.8</v>
      </c>
      <c r="E280">
        <v>13</v>
      </c>
      <c r="F280">
        <v>1.4</v>
      </c>
      <c r="G280">
        <v>0.1</v>
      </c>
      <c r="H280">
        <v>0</v>
      </c>
      <c r="I280">
        <v>0</v>
      </c>
      <c r="J280">
        <v>299</v>
      </c>
      <c r="K280">
        <v>0</v>
      </c>
      <c r="L280">
        <v>11</v>
      </c>
      <c r="M280">
        <v>0</v>
      </c>
      <c r="N280">
        <v>0</v>
      </c>
      <c r="O280">
        <v>8.1999999999999993</v>
      </c>
      <c r="P280">
        <v>0.8</v>
      </c>
      <c r="Q280">
        <v>0</v>
      </c>
      <c r="R280">
        <v>0.2</v>
      </c>
      <c r="S280">
        <v>2.7</v>
      </c>
      <c r="T280">
        <v>0.05</v>
      </c>
      <c r="U280">
        <v>0.03</v>
      </c>
      <c r="V280">
        <v>0.08</v>
      </c>
      <c r="W280">
        <v>8.15</v>
      </c>
      <c r="X280">
        <v>2</v>
      </c>
      <c r="Y280" t="s">
        <v>1000</v>
      </c>
      <c r="Z280">
        <v>363</v>
      </c>
      <c r="AA280">
        <v>229</v>
      </c>
      <c r="AB280">
        <v>290</v>
      </c>
      <c r="AC280">
        <v>140</v>
      </c>
      <c r="AD280">
        <v>339</v>
      </c>
      <c r="AE280">
        <v>158</v>
      </c>
      <c r="AF280">
        <v>414</v>
      </c>
      <c r="AG280">
        <v>140</v>
      </c>
      <c r="AH280">
        <f>fpl_player_statistics_cleaned[[#This Row],[Total Points]] / fpl_player_statistics_cleaned[[#This Row],[Now Cost]]</f>
        <v>2.7083333333333335</v>
      </c>
      <c r="AI280">
        <f>fpl_player_statistics_cleaned[[#This Row],[Goals Scored]] + fpl_player_statistics_cleaned[[#This Row],[Assists]]</f>
        <v>0</v>
      </c>
      <c r="AJ280">
        <f>fpl_player_statistics_cleaned[[#This Row],[Total Points]] / fpl_player_statistics_cleaned[[#This Row],[Starts]]</f>
        <v>6.5</v>
      </c>
      <c r="AK280">
        <f>((fpl_player_statistics_cleaned[[#This Row],[Points Per Game]]) * fpl_player_statistics_cleaned[[#This Row],[Form]]) / fpl_player_statistics_cleaned[[#This Row],[Now Cost]]</f>
        <v>0.23333333333333331</v>
      </c>
      <c r="AL280">
        <f>fpl_player_statistics_cleaned[[#This Row],[Minutes]] / fpl_player_statistics_cleaned[[#This Row],[Total Points]]</f>
        <v>23</v>
      </c>
      <c r="AM28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3.0333333333333337</v>
      </c>
    </row>
    <row r="281" spans="1:39" x14ac:dyDescent="0.2">
      <c r="A281" t="s">
        <v>312</v>
      </c>
      <c r="B281" t="s">
        <v>122</v>
      </c>
      <c r="C281" t="s">
        <v>41</v>
      </c>
      <c r="D281">
        <v>5.4</v>
      </c>
      <c r="E281">
        <v>13</v>
      </c>
      <c r="F281">
        <v>2.2000000000000002</v>
      </c>
      <c r="G281">
        <v>0</v>
      </c>
      <c r="H281">
        <v>0</v>
      </c>
      <c r="I281">
        <v>2</v>
      </c>
      <c r="J281">
        <v>128</v>
      </c>
      <c r="K281">
        <v>0</v>
      </c>
      <c r="L281">
        <v>2</v>
      </c>
      <c r="M281">
        <v>0</v>
      </c>
      <c r="N281">
        <v>1</v>
      </c>
      <c r="O281">
        <v>18.3</v>
      </c>
      <c r="P281">
        <v>2.2000000000000002</v>
      </c>
      <c r="Q281">
        <v>0</v>
      </c>
      <c r="R281">
        <v>0.4</v>
      </c>
      <c r="S281">
        <v>2.4</v>
      </c>
      <c r="T281">
        <v>0.47</v>
      </c>
      <c r="U281">
        <v>0.73</v>
      </c>
      <c r="V281">
        <v>1.2</v>
      </c>
      <c r="W281">
        <v>4.33</v>
      </c>
      <c r="X281">
        <v>0</v>
      </c>
      <c r="Y281" t="s">
        <v>1000</v>
      </c>
      <c r="Z281">
        <v>182</v>
      </c>
      <c r="AA281">
        <v>113</v>
      </c>
      <c r="AB281">
        <v>176</v>
      </c>
      <c r="AC281">
        <v>83</v>
      </c>
      <c r="AD281">
        <v>247</v>
      </c>
      <c r="AE281">
        <v>113</v>
      </c>
      <c r="AF281">
        <v>632</v>
      </c>
      <c r="AG281">
        <v>258</v>
      </c>
      <c r="AH281">
        <f>fpl_player_statistics_cleaned[[#This Row],[Total Points]] / fpl_player_statistics_cleaned[[#This Row],[Now Cost]]</f>
        <v>2.4074074074074074</v>
      </c>
      <c r="AI281">
        <f>fpl_player_statistics_cleaned[[#This Row],[Goals Scored]] + fpl_player_statistics_cleaned[[#This Row],[Assists]]</f>
        <v>2</v>
      </c>
      <c r="AJ281" t="e">
        <f>fpl_player_statistics_cleaned[[#This Row],[Total Points]] / fpl_player_statistics_cleaned[[#This Row],[Starts]]</f>
        <v>#DIV/0!</v>
      </c>
      <c r="AK281">
        <f>((fpl_player_statistics_cleaned[[#This Row],[Points Per Game]]) * fpl_player_statistics_cleaned[[#This Row],[Form]]) / fpl_player_statistics_cleaned[[#This Row],[Now Cost]]</f>
        <v>0.89629629629629637</v>
      </c>
      <c r="AL281">
        <f>fpl_player_statistics_cleaned[[#This Row],[Minutes]] / fpl_player_statistics_cleaned[[#This Row],[Total Points]]</f>
        <v>9.8461538461538467</v>
      </c>
      <c r="AM28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11.651851851851852</v>
      </c>
    </row>
    <row r="282" spans="1:39" x14ac:dyDescent="0.2">
      <c r="A282" t="s">
        <v>313</v>
      </c>
      <c r="B282" t="s">
        <v>100</v>
      </c>
      <c r="C282" t="s">
        <v>41</v>
      </c>
      <c r="D282">
        <v>4.8</v>
      </c>
      <c r="E282">
        <v>13</v>
      </c>
      <c r="F282">
        <v>1.6</v>
      </c>
      <c r="G282">
        <v>0.1</v>
      </c>
      <c r="H282">
        <v>0</v>
      </c>
      <c r="I282">
        <v>0</v>
      </c>
      <c r="J282">
        <v>320</v>
      </c>
      <c r="K282">
        <v>2</v>
      </c>
      <c r="L282">
        <v>6</v>
      </c>
      <c r="M282">
        <v>0</v>
      </c>
      <c r="N282">
        <v>0</v>
      </c>
      <c r="O282">
        <v>9</v>
      </c>
      <c r="P282">
        <v>1.5</v>
      </c>
      <c r="Q282">
        <v>0</v>
      </c>
      <c r="R282">
        <v>0.3</v>
      </c>
      <c r="S282">
        <v>2.7</v>
      </c>
      <c r="T282">
        <v>0.16</v>
      </c>
      <c r="U282">
        <v>0.11</v>
      </c>
      <c r="V282">
        <v>0.27</v>
      </c>
      <c r="W282">
        <v>5.07</v>
      </c>
      <c r="X282">
        <v>4</v>
      </c>
      <c r="Y282" t="s">
        <v>1000</v>
      </c>
      <c r="Z282">
        <v>364</v>
      </c>
      <c r="AA282">
        <v>230</v>
      </c>
      <c r="AB282">
        <v>226</v>
      </c>
      <c r="AC282">
        <v>110</v>
      </c>
      <c r="AD282">
        <v>322</v>
      </c>
      <c r="AE282">
        <v>150</v>
      </c>
      <c r="AF282">
        <v>440</v>
      </c>
      <c r="AG282">
        <v>152</v>
      </c>
      <c r="AH282">
        <f>fpl_player_statistics_cleaned[[#This Row],[Total Points]] / fpl_player_statistics_cleaned[[#This Row],[Now Cost]]</f>
        <v>2.7083333333333335</v>
      </c>
      <c r="AI282">
        <f>fpl_player_statistics_cleaned[[#This Row],[Goals Scored]] + fpl_player_statistics_cleaned[[#This Row],[Assists]]</f>
        <v>0</v>
      </c>
      <c r="AJ282">
        <f>fpl_player_statistics_cleaned[[#This Row],[Total Points]] / fpl_player_statistics_cleaned[[#This Row],[Starts]]</f>
        <v>3.25</v>
      </c>
      <c r="AK282">
        <f>((fpl_player_statistics_cleaned[[#This Row],[Points Per Game]]) * fpl_player_statistics_cleaned[[#This Row],[Form]]) / fpl_player_statistics_cleaned[[#This Row],[Now Cost]]</f>
        <v>0.50000000000000011</v>
      </c>
      <c r="AL282">
        <f>fpl_player_statistics_cleaned[[#This Row],[Minutes]] / fpl_player_statistics_cleaned[[#This Row],[Total Points]]</f>
        <v>24.615384615384617</v>
      </c>
      <c r="AM28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6.5</v>
      </c>
    </row>
    <row r="283" spans="1:39" x14ac:dyDescent="0.2">
      <c r="A283" t="s">
        <v>314</v>
      </c>
      <c r="B283" t="s">
        <v>122</v>
      </c>
      <c r="C283" t="s">
        <v>38</v>
      </c>
      <c r="D283">
        <v>5.3</v>
      </c>
      <c r="E283">
        <v>13</v>
      </c>
      <c r="F283">
        <v>1.6</v>
      </c>
      <c r="G283">
        <v>2</v>
      </c>
      <c r="H283">
        <v>0</v>
      </c>
      <c r="I283">
        <v>0</v>
      </c>
      <c r="J283">
        <v>649</v>
      </c>
      <c r="K283">
        <v>0</v>
      </c>
      <c r="L283">
        <v>13</v>
      </c>
      <c r="M283">
        <v>0</v>
      </c>
      <c r="N283">
        <v>0</v>
      </c>
      <c r="O283">
        <v>16.100000000000001</v>
      </c>
      <c r="P283">
        <v>1.5</v>
      </c>
      <c r="Q283">
        <v>0</v>
      </c>
      <c r="R283">
        <v>0.3</v>
      </c>
      <c r="S283">
        <v>2.5</v>
      </c>
      <c r="T283">
        <v>0.06</v>
      </c>
      <c r="U283">
        <v>0.24</v>
      </c>
      <c r="V283">
        <v>0.3</v>
      </c>
      <c r="W283">
        <v>9.7799999999999994</v>
      </c>
      <c r="X283">
        <v>8</v>
      </c>
      <c r="Y283" t="s">
        <v>1000</v>
      </c>
      <c r="Z283">
        <v>209</v>
      </c>
      <c r="AA283">
        <v>29</v>
      </c>
      <c r="AB283">
        <v>230</v>
      </c>
      <c r="AC283">
        <v>76</v>
      </c>
      <c r="AD283">
        <v>323</v>
      </c>
      <c r="AE283">
        <v>116</v>
      </c>
      <c r="AF283">
        <v>129</v>
      </c>
      <c r="AG283">
        <v>48</v>
      </c>
      <c r="AH283">
        <f>fpl_player_statistics_cleaned[[#This Row],[Total Points]] / fpl_player_statistics_cleaned[[#This Row],[Now Cost]]</f>
        <v>2.4528301886792452</v>
      </c>
      <c r="AI283">
        <f>fpl_player_statistics_cleaned[[#This Row],[Goals Scored]] + fpl_player_statistics_cleaned[[#This Row],[Assists]]</f>
        <v>0</v>
      </c>
      <c r="AJ283">
        <f>fpl_player_statistics_cleaned[[#This Row],[Total Points]] / fpl_player_statistics_cleaned[[#This Row],[Starts]]</f>
        <v>1.625</v>
      </c>
      <c r="AK283">
        <f>((fpl_player_statistics_cleaned[[#This Row],[Points Per Game]]) * fpl_player_statistics_cleaned[[#This Row],[Form]]) / fpl_player_statistics_cleaned[[#This Row],[Now Cost]]</f>
        <v>0.45283018867924535</v>
      </c>
      <c r="AL283">
        <f>fpl_player_statistics_cleaned[[#This Row],[Minutes]] / fpl_player_statistics_cleaned[[#This Row],[Total Points]]</f>
        <v>49.92307692307692</v>
      </c>
      <c r="AM28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5.8867924528301891</v>
      </c>
    </row>
    <row r="284" spans="1:39" x14ac:dyDescent="0.2">
      <c r="A284" t="s">
        <v>943</v>
      </c>
      <c r="B284" t="s">
        <v>46</v>
      </c>
      <c r="C284" t="s">
        <v>41</v>
      </c>
      <c r="D284">
        <v>4.9000000000000004</v>
      </c>
      <c r="E284">
        <v>13</v>
      </c>
      <c r="F284">
        <v>2.2000000000000002</v>
      </c>
      <c r="G284">
        <v>0.2</v>
      </c>
      <c r="H284">
        <v>1</v>
      </c>
      <c r="I284">
        <v>0</v>
      </c>
      <c r="J284">
        <v>100</v>
      </c>
      <c r="K284">
        <v>0</v>
      </c>
      <c r="L284">
        <v>4</v>
      </c>
      <c r="M284">
        <v>0</v>
      </c>
      <c r="N284">
        <v>1</v>
      </c>
      <c r="O284">
        <v>8.1</v>
      </c>
      <c r="P284">
        <v>0.2</v>
      </c>
      <c r="Q284">
        <v>0</v>
      </c>
      <c r="R284">
        <v>0</v>
      </c>
      <c r="S284">
        <v>2.7</v>
      </c>
      <c r="T284">
        <v>0.7</v>
      </c>
      <c r="U284">
        <v>0.03</v>
      </c>
      <c r="V284">
        <v>0.73</v>
      </c>
      <c r="W284">
        <v>2.08</v>
      </c>
      <c r="X284">
        <v>1</v>
      </c>
      <c r="Y284" t="s">
        <v>1000</v>
      </c>
      <c r="Z284">
        <v>313</v>
      </c>
      <c r="AA284">
        <v>197</v>
      </c>
      <c r="AB284">
        <v>368</v>
      </c>
      <c r="AC284">
        <v>173</v>
      </c>
      <c r="AD284">
        <v>240</v>
      </c>
      <c r="AE284">
        <v>108</v>
      </c>
      <c r="AF284">
        <v>363</v>
      </c>
      <c r="AG284">
        <v>125</v>
      </c>
      <c r="AH284">
        <f>fpl_player_statistics_cleaned[[#This Row],[Total Points]] / fpl_player_statistics_cleaned[[#This Row],[Now Cost]]</f>
        <v>2.6530612244897958</v>
      </c>
      <c r="AI284">
        <f>fpl_player_statistics_cleaned[[#This Row],[Goals Scored]] + fpl_player_statistics_cleaned[[#This Row],[Assists]]</f>
        <v>1</v>
      </c>
      <c r="AJ284">
        <f>fpl_player_statistics_cleaned[[#This Row],[Total Points]] / fpl_player_statistics_cleaned[[#This Row],[Starts]]</f>
        <v>13</v>
      </c>
      <c r="AK284">
        <f>((fpl_player_statistics_cleaned[[#This Row],[Points Per Game]]) * fpl_player_statistics_cleaned[[#This Row],[Form]]) / fpl_player_statistics_cleaned[[#This Row],[Now Cost]]</f>
        <v>8.9795918367346947E-2</v>
      </c>
      <c r="AL284">
        <f>fpl_player_statistics_cleaned[[#This Row],[Minutes]] / fpl_player_statistics_cleaned[[#This Row],[Total Points]]</f>
        <v>7.6923076923076925</v>
      </c>
      <c r="AM28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1.1673469387755104</v>
      </c>
    </row>
    <row r="285" spans="1:39" hidden="1" x14ac:dyDescent="0.2">
      <c r="A285" t="s">
        <v>315</v>
      </c>
      <c r="B285" t="s">
        <v>34</v>
      </c>
      <c r="C285" t="s">
        <v>41</v>
      </c>
      <c r="D285">
        <v>6.3</v>
      </c>
      <c r="E285">
        <v>12</v>
      </c>
      <c r="F285">
        <v>2</v>
      </c>
      <c r="G285">
        <v>0.4</v>
      </c>
      <c r="H285">
        <v>0</v>
      </c>
      <c r="I285">
        <v>0</v>
      </c>
      <c r="J285">
        <v>292</v>
      </c>
      <c r="K285">
        <v>1</v>
      </c>
      <c r="L285">
        <v>3</v>
      </c>
      <c r="M285">
        <v>0</v>
      </c>
      <c r="N285">
        <v>0</v>
      </c>
      <c r="O285">
        <v>12</v>
      </c>
      <c r="P285">
        <v>0.2</v>
      </c>
      <c r="Q285">
        <v>0</v>
      </c>
      <c r="R285">
        <v>0</v>
      </c>
      <c r="S285">
        <v>1.9</v>
      </c>
      <c r="T285">
        <v>0.14000000000000001</v>
      </c>
      <c r="U285">
        <v>0.22</v>
      </c>
      <c r="V285">
        <v>0.36</v>
      </c>
      <c r="W285">
        <v>3.78</v>
      </c>
      <c r="X285">
        <v>4</v>
      </c>
      <c r="Y285" t="s">
        <v>145</v>
      </c>
      <c r="Z285">
        <v>70</v>
      </c>
      <c r="AA285">
        <v>48</v>
      </c>
      <c r="AB285">
        <v>382</v>
      </c>
      <c r="AC285">
        <v>181</v>
      </c>
      <c r="AD285">
        <v>283</v>
      </c>
      <c r="AE285">
        <v>128</v>
      </c>
      <c r="AF285">
        <v>246</v>
      </c>
      <c r="AG285">
        <v>88</v>
      </c>
      <c r="AI285">
        <v>2.0833333333333335</v>
      </c>
    </row>
    <row r="286" spans="1:39" x14ac:dyDescent="0.2">
      <c r="A286" t="s">
        <v>316</v>
      </c>
      <c r="B286" t="s">
        <v>51</v>
      </c>
      <c r="C286" t="s">
        <v>38</v>
      </c>
      <c r="D286">
        <v>4.4000000000000004</v>
      </c>
      <c r="E286">
        <v>12</v>
      </c>
      <c r="F286">
        <v>1.7</v>
      </c>
      <c r="G286">
        <v>0.4</v>
      </c>
      <c r="H286">
        <v>0</v>
      </c>
      <c r="I286">
        <v>1</v>
      </c>
      <c r="J286">
        <v>341</v>
      </c>
      <c r="K286">
        <v>0</v>
      </c>
      <c r="L286">
        <v>5</v>
      </c>
      <c r="M286">
        <v>0</v>
      </c>
      <c r="N286">
        <v>0</v>
      </c>
      <c r="O286">
        <v>19.7</v>
      </c>
      <c r="P286">
        <v>1.2</v>
      </c>
      <c r="Q286">
        <v>0</v>
      </c>
      <c r="R286">
        <v>0.3</v>
      </c>
      <c r="S286">
        <v>2.7</v>
      </c>
      <c r="T286">
        <v>0.02</v>
      </c>
      <c r="U286">
        <v>0.27</v>
      </c>
      <c r="V286">
        <v>0.28999999999999998</v>
      </c>
      <c r="W286">
        <v>5.94</v>
      </c>
      <c r="X286">
        <v>3</v>
      </c>
      <c r="Y286" t="s">
        <v>1000</v>
      </c>
      <c r="Z286">
        <v>526</v>
      </c>
      <c r="AA286">
        <v>127</v>
      </c>
      <c r="AB286">
        <v>242</v>
      </c>
      <c r="AC286">
        <v>78</v>
      </c>
      <c r="AD286">
        <v>307</v>
      </c>
      <c r="AE286">
        <v>110</v>
      </c>
      <c r="AF286">
        <v>259</v>
      </c>
      <c r="AG286">
        <v>98</v>
      </c>
      <c r="AH286">
        <f>fpl_player_statistics_cleaned[[#This Row],[Total Points]] / fpl_player_statistics_cleaned[[#This Row],[Now Cost]]</f>
        <v>2.7272727272727271</v>
      </c>
      <c r="AI286">
        <f>fpl_player_statistics_cleaned[[#This Row],[Goals Scored]] + fpl_player_statistics_cleaned[[#This Row],[Assists]]</f>
        <v>1</v>
      </c>
      <c r="AJ286">
        <f>fpl_player_statistics_cleaned[[#This Row],[Total Points]] / fpl_player_statistics_cleaned[[#This Row],[Starts]]</f>
        <v>4</v>
      </c>
      <c r="AK286">
        <f>((fpl_player_statistics_cleaned[[#This Row],[Points Per Game]]) * fpl_player_statistics_cleaned[[#This Row],[Form]]) / fpl_player_statistics_cleaned[[#This Row],[Now Cost]]</f>
        <v>0.46363636363636362</v>
      </c>
      <c r="AL286">
        <f>fpl_player_statistics_cleaned[[#This Row],[Minutes]] / fpl_player_statistics_cleaned[[#This Row],[Total Points]]</f>
        <v>28.416666666666668</v>
      </c>
      <c r="AM28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5.5636363636363626</v>
      </c>
    </row>
    <row r="287" spans="1:39" x14ac:dyDescent="0.2">
      <c r="A287" t="s">
        <v>317</v>
      </c>
      <c r="B287" t="s">
        <v>51</v>
      </c>
      <c r="C287" t="s">
        <v>38</v>
      </c>
      <c r="D287">
        <v>4.3</v>
      </c>
      <c r="E287">
        <v>12</v>
      </c>
      <c r="F287">
        <v>1.7</v>
      </c>
      <c r="G287">
        <v>0.1</v>
      </c>
      <c r="H287">
        <v>0</v>
      </c>
      <c r="I287">
        <v>0</v>
      </c>
      <c r="J287">
        <v>257</v>
      </c>
      <c r="K287">
        <v>1</v>
      </c>
      <c r="L287">
        <v>4</v>
      </c>
      <c r="M287">
        <v>0</v>
      </c>
      <c r="N287">
        <v>1</v>
      </c>
      <c r="O287">
        <v>6.8</v>
      </c>
      <c r="P287">
        <v>2.2000000000000002</v>
      </c>
      <c r="Q287">
        <v>0</v>
      </c>
      <c r="R287">
        <v>0.5</v>
      </c>
      <c r="S287">
        <v>2.8</v>
      </c>
      <c r="T287">
        <v>0</v>
      </c>
      <c r="U287">
        <v>0.06</v>
      </c>
      <c r="V287">
        <v>0.06</v>
      </c>
      <c r="W287">
        <v>4.45</v>
      </c>
      <c r="X287">
        <v>3</v>
      </c>
      <c r="Y287" t="s">
        <v>1000</v>
      </c>
      <c r="Z287">
        <v>577</v>
      </c>
      <c r="AA287">
        <v>138</v>
      </c>
      <c r="AB287">
        <v>165</v>
      </c>
      <c r="AC287">
        <v>60</v>
      </c>
      <c r="AD287">
        <v>306</v>
      </c>
      <c r="AE287">
        <v>109</v>
      </c>
      <c r="AF287">
        <v>403</v>
      </c>
      <c r="AG287">
        <v>149</v>
      </c>
      <c r="AH287">
        <f>fpl_player_statistics_cleaned[[#This Row],[Total Points]] / fpl_player_statistics_cleaned[[#This Row],[Now Cost]]</f>
        <v>2.7906976744186047</v>
      </c>
      <c r="AI287">
        <f>fpl_player_statistics_cleaned[[#This Row],[Goals Scored]] + fpl_player_statistics_cleaned[[#This Row],[Assists]]</f>
        <v>0</v>
      </c>
      <c r="AJ287">
        <f>fpl_player_statistics_cleaned[[#This Row],[Total Points]] / fpl_player_statistics_cleaned[[#This Row],[Starts]]</f>
        <v>4</v>
      </c>
      <c r="AK287">
        <f>((fpl_player_statistics_cleaned[[#This Row],[Points Per Game]]) * fpl_player_statistics_cleaned[[#This Row],[Form]]) / fpl_player_statistics_cleaned[[#This Row],[Now Cost]]</f>
        <v>0.86976744186046517</v>
      </c>
      <c r="AL287">
        <f>fpl_player_statistics_cleaned[[#This Row],[Minutes]] / fpl_player_statistics_cleaned[[#This Row],[Total Points]]</f>
        <v>21.416666666666668</v>
      </c>
      <c r="AM28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10.437209302325583</v>
      </c>
    </row>
    <row r="288" spans="1:39" hidden="1" x14ac:dyDescent="0.2">
      <c r="A288" t="s">
        <v>318</v>
      </c>
      <c r="B288" t="s">
        <v>81</v>
      </c>
      <c r="C288" t="s">
        <v>41</v>
      </c>
      <c r="D288">
        <v>5.5</v>
      </c>
      <c r="E288">
        <v>12</v>
      </c>
      <c r="F288">
        <v>6</v>
      </c>
      <c r="G288">
        <v>0.4</v>
      </c>
      <c r="H288">
        <v>1</v>
      </c>
      <c r="I288">
        <v>0</v>
      </c>
      <c r="J288">
        <v>177</v>
      </c>
      <c r="K288">
        <v>1</v>
      </c>
      <c r="L288">
        <v>2</v>
      </c>
      <c r="M288">
        <v>0</v>
      </c>
      <c r="N288">
        <v>2</v>
      </c>
      <c r="O288">
        <v>19</v>
      </c>
      <c r="P288">
        <v>0</v>
      </c>
      <c r="Q288">
        <v>1</v>
      </c>
      <c r="R288">
        <v>0</v>
      </c>
      <c r="S288">
        <v>2.2000000000000002</v>
      </c>
      <c r="T288">
        <v>1.21</v>
      </c>
      <c r="U288">
        <v>0.17</v>
      </c>
      <c r="V288">
        <v>1.38</v>
      </c>
      <c r="W288">
        <v>2.12</v>
      </c>
      <c r="X288">
        <v>2</v>
      </c>
      <c r="Y288" t="s">
        <v>319</v>
      </c>
      <c r="Z288">
        <v>142</v>
      </c>
      <c r="AA288">
        <v>91</v>
      </c>
      <c r="AB288">
        <v>725</v>
      </c>
      <c r="AC288">
        <v>318</v>
      </c>
      <c r="AD288">
        <v>8</v>
      </c>
      <c r="AE288">
        <v>2</v>
      </c>
      <c r="AF288">
        <v>274</v>
      </c>
      <c r="AG288">
        <v>95</v>
      </c>
      <c r="AI288">
        <v>2.0408163265306123</v>
      </c>
    </row>
    <row r="289" spans="1:39" x14ac:dyDescent="0.2">
      <c r="A289" t="s">
        <v>320</v>
      </c>
      <c r="B289" t="s">
        <v>46</v>
      </c>
      <c r="C289" t="s">
        <v>41</v>
      </c>
      <c r="D289">
        <v>4.9000000000000004</v>
      </c>
      <c r="E289">
        <v>12</v>
      </c>
      <c r="F289">
        <v>2</v>
      </c>
      <c r="G289">
        <v>0.1</v>
      </c>
      <c r="H289">
        <v>0</v>
      </c>
      <c r="I289">
        <v>2</v>
      </c>
      <c r="J289">
        <v>88</v>
      </c>
      <c r="K289">
        <v>0</v>
      </c>
      <c r="L289">
        <v>2</v>
      </c>
      <c r="M289">
        <v>0</v>
      </c>
      <c r="N289">
        <v>0</v>
      </c>
      <c r="O289">
        <v>4.5999999999999996</v>
      </c>
      <c r="P289">
        <v>0.2</v>
      </c>
      <c r="Q289">
        <v>0</v>
      </c>
      <c r="R289">
        <v>0</v>
      </c>
      <c r="S289">
        <v>2.4</v>
      </c>
      <c r="T289">
        <v>0</v>
      </c>
      <c r="U289">
        <v>0.36</v>
      </c>
      <c r="V289">
        <v>0.36</v>
      </c>
      <c r="W289">
        <v>2.02</v>
      </c>
      <c r="X289">
        <v>0</v>
      </c>
      <c r="Y289" t="s">
        <v>1000</v>
      </c>
      <c r="Z289">
        <v>317</v>
      </c>
      <c r="AA289">
        <v>200</v>
      </c>
      <c r="AB289">
        <v>369</v>
      </c>
      <c r="AC289">
        <v>174</v>
      </c>
      <c r="AD289">
        <v>278</v>
      </c>
      <c r="AE289">
        <v>125</v>
      </c>
      <c r="AF289">
        <v>561</v>
      </c>
      <c r="AG289">
        <v>208</v>
      </c>
      <c r="AH289">
        <f>fpl_player_statistics_cleaned[[#This Row],[Total Points]] / fpl_player_statistics_cleaned[[#This Row],[Now Cost]]</f>
        <v>2.4489795918367343</v>
      </c>
      <c r="AI289">
        <f>fpl_player_statistics_cleaned[[#This Row],[Goals Scored]] + fpl_player_statistics_cleaned[[#This Row],[Assists]]</f>
        <v>2</v>
      </c>
      <c r="AJ289" t="e">
        <f>fpl_player_statistics_cleaned[[#This Row],[Total Points]] / fpl_player_statistics_cleaned[[#This Row],[Starts]]</f>
        <v>#DIV/0!</v>
      </c>
      <c r="AK289">
        <f>((fpl_player_statistics_cleaned[[#This Row],[Points Per Game]]) * fpl_player_statistics_cleaned[[#This Row],[Form]]) / fpl_player_statistics_cleaned[[#This Row],[Now Cost]]</f>
        <v>8.1632653061224483E-2</v>
      </c>
      <c r="AL289">
        <f>fpl_player_statistics_cleaned[[#This Row],[Minutes]] / fpl_player_statistics_cleaned[[#This Row],[Total Points]]</f>
        <v>7.333333333333333</v>
      </c>
      <c r="AM28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0.97959183673469397</v>
      </c>
    </row>
    <row r="290" spans="1:39" hidden="1" x14ac:dyDescent="0.2">
      <c r="A290" t="s">
        <v>321</v>
      </c>
      <c r="B290" t="s">
        <v>72</v>
      </c>
      <c r="C290" t="s">
        <v>41</v>
      </c>
      <c r="D290">
        <v>7.4</v>
      </c>
      <c r="E290">
        <v>12</v>
      </c>
      <c r="F290">
        <v>1.7</v>
      </c>
      <c r="G290">
        <v>2</v>
      </c>
      <c r="H290">
        <v>0</v>
      </c>
      <c r="I290">
        <v>0</v>
      </c>
      <c r="J290">
        <v>461</v>
      </c>
      <c r="K290">
        <v>3</v>
      </c>
      <c r="L290">
        <v>7</v>
      </c>
      <c r="M290">
        <v>0</v>
      </c>
      <c r="N290">
        <v>0</v>
      </c>
      <c r="O290">
        <v>26.4</v>
      </c>
      <c r="P290">
        <v>1.2</v>
      </c>
      <c r="Q290">
        <v>0</v>
      </c>
      <c r="R290">
        <v>0.2</v>
      </c>
      <c r="S290">
        <v>1.6</v>
      </c>
      <c r="T290">
        <v>1.34</v>
      </c>
      <c r="U290">
        <v>0.68</v>
      </c>
      <c r="V290">
        <v>2.02</v>
      </c>
      <c r="W290">
        <v>4.5599999999999996</v>
      </c>
      <c r="X290">
        <v>7</v>
      </c>
      <c r="Y290" t="s">
        <v>322</v>
      </c>
      <c r="Z290">
        <v>24</v>
      </c>
      <c r="AA290">
        <v>16</v>
      </c>
      <c r="AB290">
        <v>259</v>
      </c>
      <c r="AC290">
        <v>126</v>
      </c>
      <c r="AD290">
        <v>316</v>
      </c>
      <c r="AE290">
        <v>146</v>
      </c>
      <c r="AF290">
        <v>127</v>
      </c>
      <c r="AG290">
        <v>45</v>
      </c>
      <c r="AI290">
        <v>2.0454545454545454</v>
      </c>
    </row>
    <row r="291" spans="1:39" x14ac:dyDescent="0.2">
      <c r="A291" t="s">
        <v>323</v>
      </c>
      <c r="B291" t="s">
        <v>34</v>
      </c>
      <c r="C291" t="s">
        <v>41</v>
      </c>
      <c r="D291">
        <v>8.3000000000000007</v>
      </c>
      <c r="E291">
        <v>12</v>
      </c>
      <c r="F291">
        <v>2</v>
      </c>
      <c r="G291">
        <v>2.6</v>
      </c>
      <c r="H291">
        <v>0</v>
      </c>
      <c r="I291">
        <v>1</v>
      </c>
      <c r="J291">
        <v>178</v>
      </c>
      <c r="K291">
        <v>0</v>
      </c>
      <c r="L291">
        <v>3</v>
      </c>
      <c r="M291">
        <v>0</v>
      </c>
      <c r="N291">
        <v>2</v>
      </c>
      <c r="O291">
        <v>14.2</v>
      </c>
      <c r="P291">
        <v>0.8</v>
      </c>
      <c r="Q291">
        <v>0</v>
      </c>
      <c r="R291">
        <v>0.1</v>
      </c>
      <c r="S291">
        <v>1.4</v>
      </c>
      <c r="T291">
        <v>1.07</v>
      </c>
      <c r="U291">
        <v>0.45</v>
      </c>
      <c r="V291">
        <v>1.52</v>
      </c>
      <c r="W291">
        <v>2.2999999999999998</v>
      </c>
      <c r="X291">
        <v>2</v>
      </c>
      <c r="Y291" t="s">
        <v>1000</v>
      </c>
      <c r="Z291">
        <v>12</v>
      </c>
      <c r="AA291">
        <v>7</v>
      </c>
      <c r="AB291">
        <v>305</v>
      </c>
      <c r="AC291">
        <v>152</v>
      </c>
      <c r="AD291">
        <v>287</v>
      </c>
      <c r="AE291">
        <v>132</v>
      </c>
      <c r="AF291">
        <v>110</v>
      </c>
      <c r="AG291">
        <v>38</v>
      </c>
      <c r="AH291">
        <f>fpl_player_statistics_cleaned[[#This Row],[Total Points]] / fpl_player_statistics_cleaned[[#This Row],[Now Cost]]</f>
        <v>1.4457831325301203</v>
      </c>
      <c r="AI291">
        <f>fpl_player_statistics_cleaned[[#This Row],[Goals Scored]] + fpl_player_statistics_cleaned[[#This Row],[Assists]]</f>
        <v>1</v>
      </c>
      <c r="AJ291">
        <f>fpl_player_statistics_cleaned[[#This Row],[Total Points]] / fpl_player_statistics_cleaned[[#This Row],[Starts]]</f>
        <v>6</v>
      </c>
      <c r="AK291">
        <f>((fpl_player_statistics_cleaned[[#This Row],[Points Per Game]]) * fpl_player_statistics_cleaned[[#This Row],[Form]]) / fpl_player_statistics_cleaned[[#This Row],[Now Cost]]</f>
        <v>0.19277108433734938</v>
      </c>
      <c r="AL291">
        <f>fpl_player_statistics_cleaned[[#This Row],[Minutes]] / fpl_player_statistics_cleaned[[#This Row],[Total Points]]</f>
        <v>14.833333333333334</v>
      </c>
      <c r="AM29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2.3132530120481931</v>
      </c>
    </row>
    <row r="292" spans="1:39" x14ac:dyDescent="0.2">
      <c r="A292" t="s">
        <v>324</v>
      </c>
      <c r="B292" t="s">
        <v>70</v>
      </c>
      <c r="C292" t="s">
        <v>41</v>
      </c>
      <c r="D292">
        <v>5.9</v>
      </c>
      <c r="E292">
        <v>12</v>
      </c>
      <c r="F292">
        <v>2.4</v>
      </c>
      <c r="G292">
        <v>0.6</v>
      </c>
      <c r="H292">
        <v>0</v>
      </c>
      <c r="I292">
        <v>1</v>
      </c>
      <c r="J292">
        <v>334</v>
      </c>
      <c r="K292">
        <v>1</v>
      </c>
      <c r="L292">
        <v>4</v>
      </c>
      <c r="M292">
        <v>0</v>
      </c>
      <c r="N292">
        <v>0</v>
      </c>
      <c r="O292">
        <v>17.100000000000001</v>
      </c>
      <c r="P292">
        <v>1</v>
      </c>
      <c r="Q292">
        <v>0</v>
      </c>
      <c r="R292">
        <v>0.2</v>
      </c>
      <c r="S292">
        <v>2</v>
      </c>
      <c r="T292">
        <v>0.15</v>
      </c>
      <c r="U292">
        <v>0.37</v>
      </c>
      <c r="V292">
        <v>0.52</v>
      </c>
      <c r="W292">
        <v>6.57</v>
      </c>
      <c r="X292">
        <v>4</v>
      </c>
      <c r="Y292" t="s">
        <v>1000</v>
      </c>
      <c r="Z292">
        <v>95</v>
      </c>
      <c r="AA292">
        <v>62</v>
      </c>
      <c r="AB292">
        <v>278</v>
      </c>
      <c r="AC292">
        <v>135</v>
      </c>
      <c r="AD292">
        <v>222</v>
      </c>
      <c r="AE292">
        <v>100</v>
      </c>
      <c r="AF292">
        <v>227</v>
      </c>
      <c r="AG292">
        <v>78</v>
      </c>
      <c r="AH292">
        <f>fpl_player_statistics_cleaned[[#This Row],[Total Points]] / fpl_player_statistics_cleaned[[#This Row],[Now Cost]]</f>
        <v>2.0338983050847457</v>
      </c>
      <c r="AI292">
        <f>fpl_player_statistics_cleaned[[#This Row],[Goals Scored]] + fpl_player_statistics_cleaned[[#This Row],[Assists]]</f>
        <v>1</v>
      </c>
      <c r="AJ292">
        <f>fpl_player_statistics_cleaned[[#This Row],[Total Points]] / fpl_player_statistics_cleaned[[#This Row],[Starts]]</f>
        <v>3</v>
      </c>
      <c r="AK292">
        <f>((fpl_player_statistics_cleaned[[#This Row],[Points Per Game]]) * fpl_player_statistics_cleaned[[#This Row],[Form]]) / fpl_player_statistics_cleaned[[#This Row],[Now Cost]]</f>
        <v>0.40677966101694912</v>
      </c>
      <c r="AL292">
        <f>fpl_player_statistics_cleaned[[#This Row],[Minutes]] / fpl_player_statistics_cleaned[[#This Row],[Total Points]]</f>
        <v>27.833333333333332</v>
      </c>
      <c r="AM29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4.8813559322033893</v>
      </c>
    </row>
    <row r="293" spans="1:39" x14ac:dyDescent="0.2">
      <c r="A293" t="s">
        <v>325</v>
      </c>
      <c r="B293" t="s">
        <v>57</v>
      </c>
      <c r="C293" t="s">
        <v>35</v>
      </c>
      <c r="D293">
        <v>5.7</v>
      </c>
      <c r="E293">
        <v>12</v>
      </c>
      <c r="F293">
        <v>1.1000000000000001</v>
      </c>
      <c r="G293">
        <v>0.3</v>
      </c>
      <c r="H293">
        <v>0</v>
      </c>
      <c r="I293">
        <v>0</v>
      </c>
      <c r="J293">
        <v>380</v>
      </c>
      <c r="K293">
        <v>2</v>
      </c>
      <c r="L293">
        <v>4</v>
      </c>
      <c r="M293">
        <v>0</v>
      </c>
      <c r="N293">
        <v>0</v>
      </c>
      <c r="O293">
        <v>9.3000000000000007</v>
      </c>
      <c r="P293">
        <v>1</v>
      </c>
      <c r="Q293">
        <v>0</v>
      </c>
      <c r="R293">
        <v>0.2</v>
      </c>
      <c r="S293">
        <v>2.1</v>
      </c>
      <c r="T293">
        <v>1.33</v>
      </c>
      <c r="U293">
        <v>0.03</v>
      </c>
      <c r="V293">
        <v>1.36</v>
      </c>
      <c r="W293">
        <v>5.52</v>
      </c>
      <c r="X293">
        <v>4</v>
      </c>
      <c r="Y293" t="s">
        <v>1000</v>
      </c>
      <c r="Z293">
        <v>126</v>
      </c>
      <c r="AA293">
        <v>31</v>
      </c>
      <c r="AB293">
        <v>276</v>
      </c>
      <c r="AC293">
        <v>32</v>
      </c>
      <c r="AD293">
        <v>368</v>
      </c>
      <c r="AE293">
        <v>40</v>
      </c>
      <c r="AF293">
        <v>295</v>
      </c>
      <c r="AG293">
        <v>47</v>
      </c>
      <c r="AH293">
        <f>fpl_player_statistics_cleaned[[#This Row],[Total Points]] / fpl_player_statistics_cleaned[[#This Row],[Now Cost]]</f>
        <v>2.1052631578947367</v>
      </c>
      <c r="AI293">
        <f>fpl_player_statistics_cleaned[[#This Row],[Goals Scored]] + fpl_player_statistics_cleaned[[#This Row],[Assists]]</f>
        <v>0</v>
      </c>
      <c r="AJ293">
        <f>fpl_player_statistics_cleaned[[#This Row],[Total Points]] / fpl_player_statistics_cleaned[[#This Row],[Starts]]</f>
        <v>3</v>
      </c>
      <c r="AK293">
        <f>((fpl_player_statistics_cleaned[[#This Row],[Points Per Game]]) * fpl_player_statistics_cleaned[[#This Row],[Form]]) / fpl_player_statistics_cleaned[[#This Row],[Now Cost]]</f>
        <v>0.19298245614035089</v>
      </c>
      <c r="AL293">
        <f>fpl_player_statistics_cleaned[[#This Row],[Minutes]] / fpl_player_statistics_cleaned[[#This Row],[Total Points]]</f>
        <v>31.666666666666668</v>
      </c>
      <c r="AM29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2.3157894736842106</v>
      </c>
    </row>
    <row r="294" spans="1:39" hidden="1" x14ac:dyDescent="0.2">
      <c r="A294" t="s">
        <v>326</v>
      </c>
      <c r="B294" t="s">
        <v>54</v>
      </c>
      <c r="C294" t="s">
        <v>41</v>
      </c>
      <c r="D294">
        <v>5.3</v>
      </c>
      <c r="E294">
        <v>12</v>
      </c>
      <c r="F294">
        <v>3</v>
      </c>
      <c r="G294">
        <v>0</v>
      </c>
      <c r="H294">
        <v>0</v>
      </c>
      <c r="I294">
        <v>1</v>
      </c>
      <c r="J294">
        <v>345</v>
      </c>
      <c r="K294">
        <v>2</v>
      </c>
      <c r="L294">
        <v>2</v>
      </c>
      <c r="M294">
        <v>0</v>
      </c>
      <c r="N294">
        <v>0</v>
      </c>
      <c r="O294">
        <v>8</v>
      </c>
      <c r="P294">
        <v>0</v>
      </c>
      <c r="Q294">
        <v>0</v>
      </c>
      <c r="R294">
        <v>0</v>
      </c>
      <c r="S294">
        <v>2.2999999999999998</v>
      </c>
      <c r="T294">
        <v>0.5</v>
      </c>
      <c r="U294">
        <v>0.08</v>
      </c>
      <c r="V294">
        <v>0.57999999999999996</v>
      </c>
      <c r="W294">
        <v>3.87</v>
      </c>
      <c r="X294">
        <v>4</v>
      </c>
      <c r="Y294" t="s">
        <v>327</v>
      </c>
      <c r="Z294">
        <v>207</v>
      </c>
      <c r="AA294">
        <v>130</v>
      </c>
      <c r="AB294">
        <v>707</v>
      </c>
      <c r="AC294">
        <v>304</v>
      </c>
      <c r="AD294">
        <v>167</v>
      </c>
      <c r="AE294">
        <v>74</v>
      </c>
      <c r="AF294">
        <v>590</v>
      </c>
      <c r="AG294">
        <v>228</v>
      </c>
      <c r="AI294">
        <v>1.6363636363636365</v>
      </c>
    </row>
    <row r="295" spans="1:39" x14ac:dyDescent="0.2">
      <c r="A295" t="s">
        <v>944</v>
      </c>
      <c r="B295" t="s">
        <v>122</v>
      </c>
      <c r="C295" t="s">
        <v>38</v>
      </c>
      <c r="D295">
        <v>4.5</v>
      </c>
      <c r="E295">
        <v>12</v>
      </c>
      <c r="F295">
        <v>2</v>
      </c>
      <c r="G295">
        <v>0</v>
      </c>
      <c r="H295">
        <v>1</v>
      </c>
      <c r="I295">
        <v>0</v>
      </c>
      <c r="J295">
        <v>429</v>
      </c>
      <c r="K295">
        <v>0</v>
      </c>
      <c r="L295">
        <v>10</v>
      </c>
      <c r="M295">
        <v>0</v>
      </c>
      <c r="N295">
        <v>0</v>
      </c>
      <c r="O295">
        <v>19.2</v>
      </c>
      <c r="P295">
        <v>2.8</v>
      </c>
      <c r="Q295">
        <v>0</v>
      </c>
      <c r="R295">
        <v>0.6</v>
      </c>
      <c r="S295">
        <v>2.7</v>
      </c>
      <c r="T295">
        <v>0.78</v>
      </c>
      <c r="U295">
        <v>0.14000000000000001</v>
      </c>
      <c r="V295">
        <v>0.92</v>
      </c>
      <c r="W295">
        <v>6.83</v>
      </c>
      <c r="X295">
        <v>4</v>
      </c>
      <c r="Y295" t="s">
        <v>1000</v>
      </c>
      <c r="Z295">
        <v>441</v>
      </c>
      <c r="AA295">
        <v>94</v>
      </c>
      <c r="AB295">
        <v>138</v>
      </c>
      <c r="AC295">
        <v>51</v>
      </c>
      <c r="AD295">
        <v>272</v>
      </c>
      <c r="AE295">
        <v>98</v>
      </c>
      <c r="AF295">
        <v>609</v>
      </c>
      <c r="AG295">
        <v>213</v>
      </c>
      <c r="AH295">
        <f>fpl_player_statistics_cleaned[[#This Row],[Total Points]] / fpl_player_statistics_cleaned[[#This Row],[Now Cost]]</f>
        <v>2.6666666666666665</v>
      </c>
      <c r="AI295">
        <f>fpl_player_statistics_cleaned[[#This Row],[Goals Scored]] + fpl_player_statistics_cleaned[[#This Row],[Assists]]</f>
        <v>1</v>
      </c>
      <c r="AJ295">
        <f>fpl_player_statistics_cleaned[[#This Row],[Total Points]] / fpl_player_statistics_cleaned[[#This Row],[Starts]]</f>
        <v>3</v>
      </c>
      <c r="AK295">
        <f>((fpl_player_statistics_cleaned[[#This Row],[Points Per Game]]) * fpl_player_statistics_cleaned[[#This Row],[Form]]) / fpl_player_statistics_cleaned[[#This Row],[Now Cost]]</f>
        <v>1.2444444444444445</v>
      </c>
      <c r="AL295">
        <f>fpl_player_statistics_cleaned[[#This Row],[Minutes]] / fpl_player_statistics_cleaned[[#This Row],[Total Points]]</f>
        <v>35.75</v>
      </c>
      <c r="AM29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14.93333333333333</v>
      </c>
    </row>
    <row r="296" spans="1:39" x14ac:dyDescent="0.2">
      <c r="A296" t="s">
        <v>945</v>
      </c>
      <c r="B296" t="s">
        <v>34</v>
      </c>
      <c r="C296" t="s">
        <v>38</v>
      </c>
      <c r="D296">
        <v>5.8</v>
      </c>
      <c r="E296">
        <v>11</v>
      </c>
      <c r="F296">
        <v>2.8</v>
      </c>
      <c r="G296">
        <v>4.7</v>
      </c>
      <c r="H296">
        <v>0</v>
      </c>
      <c r="I296">
        <v>0</v>
      </c>
      <c r="J296">
        <v>203</v>
      </c>
      <c r="K296">
        <v>1</v>
      </c>
      <c r="L296">
        <v>2</v>
      </c>
      <c r="M296">
        <v>0</v>
      </c>
      <c r="N296">
        <v>1</v>
      </c>
      <c r="O296">
        <v>7.8</v>
      </c>
      <c r="P296">
        <v>0.2</v>
      </c>
      <c r="Q296">
        <v>0</v>
      </c>
      <c r="R296">
        <v>0</v>
      </c>
      <c r="S296">
        <v>1.9</v>
      </c>
      <c r="T296">
        <v>0.04</v>
      </c>
      <c r="U296">
        <v>0.48</v>
      </c>
      <c r="V296">
        <v>0.52</v>
      </c>
      <c r="W296">
        <v>2.96</v>
      </c>
      <c r="X296">
        <v>3</v>
      </c>
      <c r="Y296" t="s">
        <v>1000</v>
      </c>
      <c r="Z296">
        <v>112</v>
      </c>
      <c r="AA296">
        <v>8</v>
      </c>
      <c r="AB296">
        <v>378</v>
      </c>
      <c r="AC296">
        <v>132</v>
      </c>
      <c r="AD296">
        <v>185</v>
      </c>
      <c r="AE296">
        <v>68</v>
      </c>
      <c r="AF296">
        <v>74</v>
      </c>
      <c r="AG296">
        <v>25</v>
      </c>
      <c r="AH296">
        <f>fpl_player_statistics_cleaned[[#This Row],[Total Points]] / fpl_player_statistics_cleaned[[#This Row],[Now Cost]]</f>
        <v>1.896551724137931</v>
      </c>
      <c r="AI296">
        <f>fpl_player_statistics_cleaned[[#This Row],[Goals Scored]] + fpl_player_statistics_cleaned[[#This Row],[Assists]]</f>
        <v>0</v>
      </c>
      <c r="AJ296">
        <f>fpl_player_statistics_cleaned[[#This Row],[Total Points]] / fpl_player_statistics_cleaned[[#This Row],[Starts]]</f>
        <v>3.6666666666666665</v>
      </c>
      <c r="AK296">
        <f>((fpl_player_statistics_cleaned[[#This Row],[Points Per Game]]) * fpl_player_statistics_cleaned[[#This Row],[Form]]) / fpl_player_statistics_cleaned[[#This Row],[Now Cost]]</f>
        <v>9.6551724137931033E-2</v>
      </c>
      <c r="AL296">
        <f>fpl_player_statistics_cleaned[[#This Row],[Minutes]] / fpl_player_statistics_cleaned[[#This Row],[Total Points]]</f>
        <v>18.454545454545453</v>
      </c>
      <c r="AM29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1.0620689655172415</v>
      </c>
    </row>
    <row r="297" spans="1:39" x14ac:dyDescent="0.2">
      <c r="A297" t="s">
        <v>328</v>
      </c>
      <c r="B297" t="s">
        <v>100</v>
      </c>
      <c r="C297" t="s">
        <v>41</v>
      </c>
      <c r="D297">
        <v>5.3</v>
      </c>
      <c r="E297">
        <v>11</v>
      </c>
      <c r="F297">
        <v>1.4</v>
      </c>
      <c r="G297">
        <v>0.1</v>
      </c>
      <c r="H297">
        <v>0</v>
      </c>
      <c r="I297">
        <v>0</v>
      </c>
      <c r="J297">
        <v>284</v>
      </c>
      <c r="K297">
        <v>1</v>
      </c>
      <c r="L297">
        <v>9</v>
      </c>
      <c r="M297">
        <v>0</v>
      </c>
      <c r="N297">
        <v>0</v>
      </c>
      <c r="O297">
        <v>15.7</v>
      </c>
      <c r="P297">
        <v>1</v>
      </c>
      <c r="Q297">
        <v>0</v>
      </c>
      <c r="R297">
        <v>0.2</v>
      </c>
      <c r="S297">
        <v>2.1</v>
      </c>
      <c r="T297">
        <v>0.49</v>
      </c>
      <c r="U297">
        <v>0.53</v>
      </c>
      <c r="V297">
        <v>1.02</v>
      </c>
      <c r="W297">
        <v>5.54</v>
      </c>
      <c r="X297">
        <v>3</v>
      </c>
      <c r="Y297" t="s">
        <v>1000</v>
      </c>
      <c r="Z297">
        <v>196</v>
      </c>
      <c r="AA297">
        <v>122</v>
      </c>
      <c r="AB297">
        <v>273</v>
      </c>
      <c r="AC297">
        <v>132</v>
      </c>
      <c r="AD297">
        <v>344</v>
      </c>
      <c r="AE297">
        <v>163</v>
      </c>
      <c r="AF297">
        <v>424</v>
      </c>
      <c r="AG297">
        <v>144</v>
      </c>
      <c r="AH297">
        <f>fpl_player_statistics_cleaned[[#This Row],[Total Points]] / fpl_player_statistics_cleaned[[#This Row],[Now Cost]]</f>
        <v>2.0754716981132075</v>
      </c>
      <c r="AI297">
        <f>fpl_player_statistics_cleaned[[#This Row],[Goals Scored]] + fpl_player_statistics_cleaned[[#This Row],[Assists]]</f>
        <v>0</v>
      </c>
      <c r="AJ297">
        <f>fpl_player_statistics_cleaned[[#This Row],[Total Points]] / fpl_player_statistics_cleaned[[#This Row],[Starts]]</f>
        <v>3.6666666666666665</v>
      </c>
      <c r="AK297">
        <f>((fpl_player_statistics_cleaned[[#This Row],[Points Per Game]]) * fpl_player_statistics_cleaned[[#This Row],[Form]]) / fpl_player_statistics_cleaned[[#This Row],[Now Cost]]</f>
        <v>0.26415094339622641</v>
      </c>
      <c r="AL297">
        <f>fpl_player_statistics_cleaned[[#This Row],[Minutes]] / fpl_player_statistics_cleaned[[#This Row],[Total Points]]</f>
        <v>25.818181818181817</v>
      </c>
      <c r="AM29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2.9056603773584904</v>
      </c>
    </row>
    <row r="298" spans="1:39" x14ac:dyDescent="0.2">
      <c r="A298" t="s">
        <v>329</v>
      </c>
      <c r="B298" t="s">
        <v>97</v>
      </c>
      <c r="C298" t="s">
        <v>41</v>
      </c>
      <c r="D298">
        <v>5.7</v>
      </c>
      <c r="E298">
        <v>11</v>
      </c>
      <c r="F298">
        <v>2.2000000000000002</v>
      </c>
      <c r="G298">
        <v>0.2</v>
      </c>
      <c r="H298">
        <v>0</v>
      </c>
      <c r="I298">
        <v>0</v>
      </c>
      <c r="J298">
        <v>414</v>
      </c>
      <c r="K298">
        <v>1</v>
      </c>
      <c r="L298">
        <v>11</v>
      </c>
      <c r="M298">
        <v>0</v>
      </c>
      <c r="N298">
        <v>0</v>
      </c>
      <c r="O298">
        <v>23.9</v>
      </c>
      <c r="P298">
        <v>0</v>
      </c>
      <c r="Q298">
        <v>0</v>
      </c>
      <c r="R298">
        <v>0</v>
      </c>
      <c r="S298">
        <v>1.9</v>
      </c>
      <c r="T298">
        <v>0.13</v>
      </c>
      <c r="U298">
        <v>0.91</v>
      </c>
      <c r="V298">
        <v>1.04</v>
      </c>
      <c r="W298">
        <v>7.27</v>
      </c>
      <c r="X298">
        <v>5</v>
      </c>
      <c r="Y298" t="s">
        <v>1000</v>
      </c>
      <c r="Z298">
        <v>118</v>
      </c>
      <c r="AA298">
        <v>77</v>
      </c>
      <c r="AB298">
        <v>729</v>
      </c>
      <c r="AC298">
        <v>320</v>
      </c>
      <c r="AD298">
        <v>250</v>
      </c>
      <c r="AE298">
        <v>115</v>
      </c>
      <c r="AF298">
        <v>371</v>
      </c>
      <c r="AG298">
        <v>127</v>
      </c>
      <c r="AH298">
        <f>fpl_player_statistics_cleaned[[#This Row],[Total Points]] / fpl_player_statistics_cleaned[[#This Row],[Now Cost]]</f>
        <v>1.9298245614035088</v>
      </c>
      <c r="AI298">
        <f>fpl_player_statistics_cleaned[[#This Row],[Goals Scored]] + fpl_player_statistics_cleaned[[#This Row],[Assists]]</f>
        <v>0</v>
      </c>
      <c r="AJ298">
        <f>fpl_player_statistics_cleaned[[#This Row],[Total Points]] / fpl_player_statistics_cleaned[[#This Row],[Starts]]</f>
        <v>2.2000000000000002</v>
      </c>
      <c r="AK298">
        <f>((fpl_player_statistics_cleaned[[#This Row],[Points Per Game]]) * fpl_player_statistics_cleaned[[#This Row],[Form]]) / fpl_player_statistics_cleaned[[#This Row],[Now Cost]]</f>
        <v>0</v>
      </c>
      <c r="AL298">
        <f>fpl_player_statistics_cleaned[[#This Row],[Minutes]] / fpl_player_statistics_cleaned[[#This Row],[Total Points]]</f>
        <v>37.636363636363633</v>
      </c>
      <c r="AM29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299" spans="1:39" x14ac:dyDescent="0.2">
      <c r="A299" t="s">
        <v>330</v>
      </c>
      <c r="B299" t="s">
        <v>122</v>
      </c>
      <c r="C299" t="s">
        <v>41</v>
      </c>
      <c r="D299">
        <v>4.7</v>
      </c>
      <c r="E299">
        <v>11</v>
      </c>
      <c r="F299">
        <v>1.6</v>
      </c>
      <c r="G299">
        <v>0.1</v>
      </c>
      <c r="H299">
        <v>0</v>
      </c>
      <c r="I299">
        <v>1</v>
      </c>
      <c r="J299">
        <v>240</v>
      </c>
      <c r="K299">
        <v>0</v>
      </c>
      <c r="L299">
        <v>4</v>
      </c>
      <c r="M299">
        <v>0</v>
      </c>
      <c r="N299">
        <v>0</v>
      </c>
      <c r="O299">
        <v>9.9</v>
      </c>
      <c r="P299">
        <v>1.8</v>
      </c>
      <c r="Q299">
        <v>0</v>
      </c>
      <c r="R299">
        <v>0.4</v>
      </c>
      <c r="S299">
        <v>2.2999999999999998</v>
      </c>
      <c r="T299">
        <v>7.0000000000000007E-2</v>
      </c>
      <c r="U299">
        <v>0.17</v>
      </c>
      <c r="V299">
        <v>0.24</v>
      </c>
      <c r="W299">
        <v>2.84</v>
      </c>
      <c r="X299">
        <v>1</v>
      </c>
      <c r="Y299" t="s">
        <v>1000</v>
      </c>
      <c r="Z299">
        <v>379</v>
      </c>
      <c r="AA299">
        <v>238</v>
      </c>
      <c r="AB299">
        <v>205</v>
      </c>
      <c r="AC299">
        <v>101</v>
      </c>
      <c r="AD299">
        <v>320</v>
      </c>
      <c r="AE299">
        <v>148</v>
      </c>
      <c r="AF299">
        <v>477</v>
      </c>
      <c r="AG299">
        <v>163</v>
      </c>
      <c r="AH299">
        <f>fpl_player_statistics_cleaned[[#This Row],[Total Points]] / fpl_player_statistics_cleaned[[#This Row],[Now Cost]]</f>
        <v>2.3404255319148937</v>
      </c>
      <c r="AI299">
        <f>fpl_player_statistics_cleaned[[#This Row],[Goals Scored]] + fpl_player_statistics_cleaned[[#This Row],[Assists]]</f>
        <v>1</v>
      </c>
      <c r="AJ299">
        <f>fpl_player_statistics_cleaned[[#This Row],[Total Points]] / fpl_player_statistics_cleaned[[#This Row],[Starts]]</f>
        <v>11</v>
      </c>
      <c r="AK299">
        <f>((fpl_player_statistics_cleaned[[#This Row],[Points Per Game]]) * fpl_player_statistics_cleaned[[#This Row],[Form]]) / fpl_player_statistics_cleaned[[#This Row],[Now Cost]]</f>
        <v>0.61276595744680851</v>
      </c>
      <c r="AL299">
        <f>fpl_player_statistics_cleaned[[#This Row],[Minutes]] / fpl_player_statistics_cleaned[[#This Row],[Total Points]]</f>
        <v>21.818181818181817</v>
      </c>
      <c r="AM29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6.7404255319148936</v>
      </c>
    </row>
    <row r="300" spans="1:39" x14ac:dyDescent="0.2">
      <c r="A300" t="s">
        <v>331</v>
      </c>
      <c r="B300" t="s">
        <v>100</v>
      </c>
      <c r="C300" t="s">
        <v>41</v>
      </c>
      <c r="D300">
        <v>5.2</v>
      </c>
      <c r="E300">
        <v>11</v>
      </c>
      <c r="F300">
        <v>1.1000000000000001</v>
      </c>
      <c r="G300">
        <v>0.1</v>
      </c>
      <c r="H300">
        <v>0</v>
      </c>
      <c r="I300">
        <v>0</v>
      </c>
      <c r="J300">
        <v>261</v>
      </c>
      <c r="K300">
        <v>0</v>
      </c>
      <c r="L300">
        <v>5</v>
      </c>
      <c r="M300">
        <v>0</v>
      </c>
      <c r="N300">
        <v>0</v>
      </c>
      <c r="O300">
        <v>11.5</v>
      </c>
      <c r="P300">
        <v>1.2</v>
      </c>
      <c r="Q300">
        <v>0</v>
      </c>
      <c r="R300">
        <v>0.2</v>
      </c>
      <c r="S300">
        <v>2.1</v>
      </c>
      <c r="T300">
        <v>0.28000000000000003</v>
      </c>
      <c r="U300">
        <v>0.23</v>
      </c>
      <c r="V300">
        <v>0.51</v>
      </c>
      <c r="W300">
        <v>3.73</v>
      </c>
      <c r="X300">
        <v>1</v>
      </c>
      <c r="Y300" t="s">
        <v>1000</v>
      </c>
      <c r="Z300">
        <v>217</v>
      </c>
      <c r="AA300">
        <v>135</v>
      </c>
      <c r="AB300">
        <v>255</v>
      </c>
      <c r="AC300">
        <v>122</v>
      </c>
      <c r="AD300">
        <v>367</v>
      </c>
      <c r="AE300">
        <v>175</v>
      </c>
      <c r="AF300">
        <v>542</v>
      </c>
      <c r="AG300">
        <v>198</v>
      </c>
      <c r="AH300">
        <f>fpl_player_statistics_cleaned[[#This Row],[Total Points]] / fpl_player_statistics_cleaned[[#This Row],[Now Cost]]</f>
        <v>2.1153846153846154</v>
      </c>
      <c r="AI300">
        <f>fpl_player_statistics_cleaned[[#This Row],[Goals Scored]] + fpl_player_statistics_cleaned[[#This Row],[Assists]]</f>
        <v>0</v>
      </c>
      <c r="AJ300">
        <f>fpl_player_statistics_cleaned[[#This Row],[Total Points]] / fpl_player_statistics_cleaned[[#This Row],[Starts]]</f>
        <v>11</v>
      </c>
      <c r="AK300">
        <f>((fpl_player_statistics_cleaned[[#This Row],[Points Per Game]]) * fpl_player_statistics_cleaned[[#This Row],[Form]]) / fpl_player_statistics_cleaned[[#This Row],[Now Cost]]</f>
        <v>0.25384615384615383</v>
      </c>
      <c r="AL300">
        <f>fpl_player_statistics_cleaned[[#This Row],[Minutes]] / fpl_player_statistics_cleaned[[#This Row],[Total Points]]</f>
        <v>23.727272727272727</v>
      </c>
      <c r="AM30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2.7923076923076926</v>
      </c>
    </row>
    <row r="301" spans="1:39" x14ac:dyDescent="0.2">
      <c r="A301" t="s">
        <v>332</v>
      </c>
      <c r="B301" t="s">
        <v>34</v>
      </c>
      <c r="C301" t="s">
        <v>38</v>
      </c>
      <c r="D301">
        <v>5.4</v>
      </c>
      <c r="E301">
        <v>11</v>
      </c>
      <c r="F301">
        <v>2.8</v>
      </c>
      <c r="G301">
        <v>0.3</v>
      </c>
      <c r="H301">
        <v>0</v>
      </c>
      <c r="I301">
        <v>0</v>
      </c>
      <c r="J301">
        <v>227</v>
      </c>
      <c r="K301">
        <v>1</v>
      </c>
      <c r="L301">
        <v>1</v>
      </c>
      <c r="M301">
        <v>0</v>
      </c>
      <c r="N301">
        <v>0</v>
      </c>
      <c r="O301">
        <v>4.8</v>
      </c>
      <c r="P301">
        <v>0</v>
      </c>
      <c r="Q301">
        <v>0</v>
      </c>
      <c r="R301">
        <v>0</v>
      </c>
      <c r="S301">
        <v>2</v>
      </c>
      <c r="T301">
        <v>0</v>
      </c>
      <c r="U301">
        <v>0.02</v>
      </c>
      <c r="V301">
        <v>0.02</v>
      </c>
      <c r="W301">
        <v>3.13</v>
      </c>
      <c r="X301">
        <v>3</v>
      </c>
      <c r="Y301" t="s">
        <v>1000</v>
      </c>
      <c r="Z301">
        <v>189</v>
      </c>
      <c r="AA301">
        <v>24</v>
      </c>
      <c r="AB301">
        <v>722</v>
      </c>
      <c r="AC301">
        <v>247</v>
      </c>
      <c r="AD301">
        <v>182</v>
      </c>
      <c r="AE301">
        <v>67</v>
      </c>
      <c r="AF301">
        <v>321</v>
      </c>
      <c r="AG301">
        <v>113</v>
      </c>
      <c r="AH301">
        <f>fpl_player_statistics_cleaned[[#This Row],[Total Points]] / fpl_player_statistics_cleaned[[#This Row],[Now Cost]]</f>
        <v>2.0370370370370368</v>
      </c>
      <c r="AI301">
        <f>fpl_player_statistics_cleaned[[#This Row],[Goals Scored]] + fpl_player_statistics_cleaned[[#This Row],[Assists]]</f>
        <v>0</v>
      </c>
      <c r="AJ301">
        <f>fpl_player_statistics_cleaned[[#This Row],[Total Points]] / fpl_player_statistics_cleaned[[#This Row],[Starts]]</f>
        <v>3.6666666666666665</v>
      </c>
      <c r="AK301">
        <f>((fpl_player_statistics_cleaned[[#This Row],[Points Per Game]]) * fpl_player_statistics_cleaned[[#This Row],[Form]]) / fpl_player_statistics_cleaned[[#This Row],[Now Cost]]</f>
        <v>0</v>
      </c>
      <c r="AL301">
        <f>fpl_player_statistics_cleaned[[#This Row],[Minutes]] / fpl_player_statistics_cleaned[[#This Row],[Total Points]]</f>
        <v>20.636363636363637</v>
      </c>
      <c r="AM30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302" spans="1:39" x14ac:dyDescent="0.2">
      <c r="A302" t="s">
        <v>333</v>
      </c>
      <c r="B302" t="s">
        <v>49</v>
      </c>
      <c r="C302" t="s">
        <v>55</v>
      </c>
      <c r="D302">
        <v>4.8</v>
      </c>
      <c r="E302">
        <v>11</v>
      </c>
      <c r="F302">
        <v>1.8</v>
      </c>
      <c r="G302">
        <v>0.3</v>
      </c>
      <c r="H302">
        <v>0</v>
      </c>
      <c r="I302">
        <v>0</v>
      </c>
      <c r="J302">
        <v>540</v>
      </c>
      <c r="K302">
        <v>0</v>
      </c>
      <c r="L302">
        <v>11</v>
      </c>
      <c r="M302">
        <v>13</v>
      </c>
      <c r="N302">
        <v>0</v>
      </c>
      <c r="O302">
        <v>12.8</v>
      </c>
      <c r="P302">
        <v>0</v>
      </c>
      <c r="Q302">
        <v>0</v>
      </c>
      <c r="R302">
        <v>0</v>
      </c>
      <c r="S302">
        <v>2.2999999999999998</v>
      </c>
      <c r="T302">
        <v>0</v>
      </c>
      <c r="U302">
        <v>0.05</v>
      </c>
      <c r="V302">
        <v>0.05</v>
      </c>
      <c r="W302">
        <v>9.24</v>
      </c>
      <c r="X302">
        <v>6</v>
      </c>
      <c r="Y302" t="s">
        <v>1000</v>
      </c>
      <c r="Z302">
        <v>366</v>
      </c>
      <c r="AA302">
        <v>17</v>
      </c>
      <c r="AB302">
        <v>653</v>
      </c>
      <c r="AC302">
        <v>83</v>
      </c>
      <c r="AD302">
        <v>296</v>
      </c>
      <c r="AE302">
        <v>26</v>
      </c>
      <c r="AF302">
        <v>287</v>
      </c>
      <c r="AG302">
        <v>38</v>
      </c>
      <c r="AH302">
        <f>fpl_player_statistics_cleaned[[#This Row],[Total Points]] / fpl_player_statistics_cleaned[[#This Row],[Now Cost]]</f>
        <v>2.291666666666667</v>
      </c>
      <c r="AI302">
        <f>fpl_player_statistics_cleaned[[#This Row],[Goals Scored]] + fpl_player_statistics_cleaned[[#This Row],[Assists]]</f>
        <v>0</v>
      </c>
      <c r="AJ302">
        <f>fpl_player_statistics_cleaned[[#This Row],[Total Points]] / fpl_player_statistics_cleaned[[#This Row],[Starts]]</f>
        <v>1.8333333333333333</v>
      </c>
      <c r="AK302">
        <f>((fpl_player_statistics_cleaned[[#This Row],[Points Per Game]]) * fpl_player_statistics_cleaned[[#This Row],[Form]]) / fpl_player_statistics_cleaned[[#This Row],[Now Cost]]</f>
        <v>0</v>
      </c>
      <c r="AL302">
        <f>fpl_player_statistics_cleaned[[#This Row],[Minutes]] / fpl_player_statistics_cleaned[[#This Row],[Total Points]]</f>
        <v>49.090909090909093</v>
      </c>
      <c r="AM30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303" spans="1:39" x14ac:dyDescent="0.2">
      <c r="A303" t="s">
        <v>334</v>
      </c>
      <c r="B303" t="s">
        <v>34</v>
      </c>
      <c r="C303" t="s">
        <v>38</v>
      </c>
      <c r="D303">
        <v>5.4</v>
      </c>
      <c r="E303">
        <v>11</v>
      </c>
      <c r="F303">
        <v>2.2000000000000002</v>
      </c>
      <c r="G303">
        <v>0.7</v>
      </c>
      <c r="H303">
        <v>0</v>
      </c>
      <c r="I303">
        <v>0</v>
      </c>
      <c r="J303">
        <v>324</v>
      </c>
      <c r="K303">
        <v>1</v>
      </c>
      <c r="L303">
        <v>6</v>
      </c>
      <c r="M303">
        <v>0</v>
      </c>
      <c r="N303">
        <v>0</v>
      </c>
      <c r="O303">
        <v>9.1</v>
      </c>
      <c r="P303">
        <v>0.5</v>
      </c>
      <c r="Q303">
        <v>0</v>
      </c>
      <c r="R303">
        <v>0.1</v>
      </c>
      <c r="S303">
        <v>2</v>
      </c>
      <c r="T303">
        <v>0</v>
      </c>
      <c r="U303">
        <v>0.06</v>
      </c>
      <c r="V303">
        <v>0.06</v>
      </c>
      <c r="W303">
        <v>4.58</v>
      </c>
      <c r="X303">
        <v>4</v>
      </c>
      <c r="Y303" t="s">
        <v>1000</v>
      </c>
      <c r="Z303">
        <v>156</v>
      </c>
      <c r="AA303">
        <v>17</v>
      </c>
      <c r="AB303">
        <v>329</v>
      </c>
      <c r="AC303">
        <v>109</v>
      </c>
      <c r="AD303">
        <v>246</v>
      </c>
      <c r="AE303">
        <v>88</v>
      </c>
      <c r="AF303">
        <v>204</v>
      </c>
      <c r="AG303">
        <v>77</v>
      </c>
      <c r="AH303">
        <f>fpl_player_statistics_cleaned[[#This Row],[Total Points]] / fpl_player_statistics_cleaned[[#This Row],[Now Cost]]</f>
        <v>2.0370370370370368</v>
      </c>
      <c r="AI303">
        <f>fpl_player_statistics_cleaned[[#This Row],[Goals Scored]] + fpl_player_statistics_cleaned[[#This Row],[Assists]]</f>
        <v>0</v>
      </c>
      <c r="AJ303">
        <f>fpl_player_statistics_cleaned[[#This Row],[Total Points]] / fpl_player_statistics_cleaned[[#This Row],[Starts]]</f>
        <v>2.75</v>
      </c>
      <c r="AK303">
        <f>((fpl_player_statistics_cleaned[[#This Row],[Points Per Game]]) * fpl_player_statistics_cleaned[[#This Row],[Form]]) / fpl_player_statistics_cleaned[[#This Row],[Now Cost]]</f>
        <v>0.20370370370370372</v>
      </c>
      <c r="AL303">
        <f>fpl_player_statistics_cleaned[[#This Row],[Minutes]] / fpl_player_statistics_cleaned[[#This Row],[Total Points]]</f>
        <v>29.454545454545453</v>
      </c>
      <c r="AM30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2.2407407407407405</v>
      </c>
    </row>
    <row r="304" spans="1:39" x14ac:dyDescent="0.2">
      <c r="A304" t="s">
        <v>335</v>
      </c>
      <c r="B304" t="s">
        <v>153</v>
      </c>
      <c r="C304" t="s">
        <v>38</v>
      </c>
      <c r="D304">
        <v>4.3</v>
      </c>
      <c r="E304">
        <v>11</v>
      </c>
      <c r="F304">
        <v>1.4</v>
      </c>
      <c r="G304">
        <v>0.2</v>
      </c>
      <c r="H304">
        <v>0</v>
      </c>
      <c r="I304">
        <v>0</v>
      </c>
      <c r="J304">
        <v>560</v>
      </c>
      <c r="K304">
        <v>0</v>
      </c>
      <c r="L304">
        <v>17</v>
      </c>
      <c r="M304">
        <v>0</v>
      </c>
      <c r="N304">
        <v>0</v>
      </c>
      <c r="O304">
        <v>24.2</v>
      </c>
      <c r="P304">
        <v>-0.8</v>
      </c>
      <c r="Q304">
        <v>0</v>
      </c>
      <c r="R304">
        <v>-0.2</v>
      </c>
      <c r="S304">
        <v>2.6</v>
      </c>
      <c r="T304">
        <v>0.38</v>
      </c>
      <c r="U304">
        <v>0.26</v>
      </c>
      <c r="V304">
        <v>0.64</v>
      </c>
      <c r="W304">
        <v>8.66</v>
      </c>
      <c r="X304">
        <v>6</v>
      </c>
      <c r="Y304" t="s">
        <v>1000</v>
      </c>
      <c r="Z304">
        <v>600</v>
      </c>
      <c r="AA304">
        <v>152</v>
      </c>
      <c r="AB304">
        <v>752</v>
      </c>
      <c r="AC304">
        <v>249</v>
      </c>
      <c r="AD304">
        <v>336</v>
      </c>
      <c r="AE304">
        <v>119</v>
      </c>
      <c r="AF304">
        <v>386</v>
      </c>
      <c r="AG304">
        <v>139</v>
      </c>
      <c r="AH304">
        <f>fpl_player_statistics_cleaned[[#This Row],[Total Points]] / fpl_player_statistics_cleaned[[#This Row],[Now Cost]]</f>
        <v>2.558139534883721</v>
      </c>
      <c r="AI304">
        <f>fpl_player_statistics_cleaned[[#This Row],[Goals Scored]] + fpl_player_statistics_cleaned[[#This Row],[Assists]]</f>
        <v>0</v>
      </c>
      <c r="AJ304">
        <f>fpl_player_statistics_cleaned[[#This Row],[Total Points]] / fpl_player_statistics_cleaned[[#This Row],[Starts]]</f>
        <v>1.8333333333333333</v>
      </c>
      <c r="AK304">
        <f>((fpl_player_statistics_cleaned[[#This Row],[Points Per Game]]) * fpl_player_statistics_cleaned[[#This Row],[Form]]) / fpl_player_statistics_cleaned[[#This Row],[Now Cost]]</f>
        <v>-0.26046511627906976</v>
      </c>
      <c r="AL304">
        <f>fpl_player_statistics_cleaned[[#This Row],[Minutes]] / fpl_player_statistics_cleaned[[#This Row],[Total Points]]</f>
        <v>50.909090909090907</v>
      </c>
      <c r="AM30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-2.8651162790697673</v>
      </c>
    </row>
    <row r="305" spans="1:39" x14ac:dyDescent="0.2">
      <c r="A305" t="s">
        <v>336</v>
      </c>
      <c r="B305" t="s">
        <v>92</v>
      </c>
      <c r="C305" t="s">
        <v>41</v>
      </c>
      <c r="D305">
        <v>5.2</v>
      </c>
      <c r="E305">
        <v>11</v>
      </c>
      <c r="F305">
        <v>1.2</v>
      </c>
      <c r="G305">
        <v>0.2</v>
      </c>
      <c r="H305">
        <v>0</v>
      </c>
      <c r="I305">
        <v>0</v>
      </c>
      <c r="J305">
        <v>242</v>
      </c>
      <c r="K305">
        <v>0</v>
      </c>
      <c r="L305">
        <v>6</v>
      </c>
      <c r="M305">
        <v>0</v>
      </c>
      <c r="N305">
        <v>0</v>
      </c>
      <c r="O305">
        <v>12.9</v>
      </c>
      <c r="P305">
        <v>1.2</v>
      </c>
      <c r="Q305">
        <v>0</v>
      </c>
      <c r="R305">
        <v>0.2</v>
      </c>
      <c r="S305">
        <v>2.1</v>
      </c>
      <c r="T305">
        <v>0.19</v>
      </c>
      <c r="U305">
        <v>0.55000000000000004</v>
      </c>
      <c r="V305">
        <v>0.74</v>
      </c>
      <c r="W305">
        <v>4.54</v>
      </c>
      <c r="X305">
        <v>1</v>
      </c>
      <c r="Y305" t="s">
        <v>1000</v>
      </c>
      <c r="Z305">
        <v>215</v>
      </c>
      <c r="AA305">
        <v>134</v>
      </c>
      <c r="AB305">
        <v>254</v>
      </c>
      <c r="AC305">
        <v>121</v>
      </c>
      <c r="AD305">
        <v>362</v>
      </c>
      <c r="AE305">
        <v>170</v>
      </c>
      <c r="AF305">
        <v>398</v>
      </c>
      <c r="AG305">
        <v>133</v>
      </c>
      <c r="AH305">
        <f>fpl_player_statistics_cleaned[[#This Row],[Total Points]] / fpl_player_statistics_cleaned[[#This Row],[Now Cost]]</f>
        <v>2.1153846153846154</v>
      </c>
      <c r="AI305">
        <f>fpl_player_statistics_cleaned[[#This Row],[Goals Scored]] + fpl_player_statistics_cleaned[[#This Row],[Assists]]</f>
        <v>0</v>
      </c>
      <c r="AJ305">
        <f>fpl_player_statistics_cleaned[[#This Row],[Total Points]] / fpl_player_statistics_cleaned[[#This Row],[Starts]]</f>
        <v>11</v>
      </c>
      <c r="AK305">
        <f>((fpl_player_statistics_cleaned[[#This Row],[Points Per Game]]) * fpl_player_statistics_cleaned[[#This Row],[Form]]) / fpl_player_statistics_cleaned[[#This Row],[Now Cost]]</f>
        <v>0.27692307692307688</v>
      </c>
      <c r="AL305">
        <f>fpl_player_statistics_cleaned[[#This Row],[Minutes]] / fpl_player_statistics_cleaned[[#This Row],[Total Points]]</f>
        <v>22</v>
      </c>
      <c r="AM30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3.046153846153846</v>
      </c>
    </row>
    <row r="306" spans="1:39" x14ac:dyDescent="0.2">
      <c r="A306" t="s">
        <v>337</v>
      </c>
      <c r="B306" t="s">
        <v>43</v>
      </c>
      <c r="C306" t="s">
        <v>38</v>
      </c>
      <c r="D306">
        <v>4.5</v>
      </c>
      <c r="E306">
        <v>11</v>
      </c>
      <c r="F306">
        <v>5.5</v>
      </c>
      <c r="G306">
        <v>0</v>
      </c>
      <c r="H306">
        <v>0</v>
      </c>
      <c r="I306">
        <v>0</v>
      </c>
      <c r="J306">
        <v>91</v>
      </c>
      <c r="K306">
        <v>1</v>
      </c>
      <c r="L306">
        <v>0</v>
      </c>
      <c r="M306">
        <v>0</v>
      </c>
      <c r="N306">
        <v>2</v>
      </c>
      <c r="O306">
        <v>4</v>
      </c>
      <c r="P306">
        <v>2.8</v>
      </c>
      <c r="Q306">
        <v>0</v>
      </c>
      <c r="R306">
        <v>0.6</v>
      </c>
      <c r="S306">
        <v>2.4</v>
      </c>
      <c r="T306">
        <v>0.05</v>
      </c>
      <c r="U306">
        <v>7.0000000000000007E-2</v>
      </c>
      <c r="V306">
        <v>0.12</v>
      </c>
      <c r="W306">
        <v>0.38</v>
      </c>
      <c r="X306">
        <v>1</v>
      </c>
      <c r="Y306" t="s">
        <v>1000</v>
      </c>
      <c r="Z306">
        <v>490</v>
      </c>
      <c r="AA306">
        <v>101</v>
      </c>
      <c r="AB306">
        <v>139</v>
      </c>
      <c r="AC306">
        <v>52</v>
      </c>
      <c r="AD306">
        <v>13</v>
      </c>
      <c r="AE306">
        <v>8</v>
      </c>
      <c r="AF306">
        <v>681</v>
      </c>
      <c r="AG306">
        <v>232</v>
      </c>
      <c r="AH306">
        <f>fpl_player_statistics_cleaned[[#This Row],[Total Points]] / fpl_player_statistics_cleaned[[#This Row],[Now Cost]]</f>
        <v>2.4444444444444446</v>
      </c>
      <c r="AI306">
        <f>fpl_player_statistics_cleaned[[#This Row],[Goals Scored]] + fpl_player_statistics_cleaned[[#This Row],[Assists]]</f>
        <v>0</v>
      </c>
      <c r="AJ306">
        <f>fpl_player_statistics_cleaned[[#This Row],[Total Points]] / fpl_player_statistics_cleaned[[#This Row],[Starts]]</f>
        <v>11</v>
      </c>
      <c r="AK306">
        <f>((fpl_player_statistics_cleaned[[#This Row],[Points Per Game]]) * fpl_player_statistics_cleaned[[#This Row],[Form]]) / fpl_player_statistics_cleaned[[#This Row],[Now Cost]]</f>
        <v>3.4222222222222221</v>
      </c>
      <c r="AL306">
        <f>fpl_player_statistics_cleaned[[#This Row],[Minutes]] / fpl_player_statistics_cleaned[[#This Row],[Total Points]]</f>
        <v>8.2727272727272734</v>
      </c>
      <c r="AM30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37.644444444444446</v>
      </c>
    </row>
    <row r="307" spans="1:39" x14ac:dyDescent="0.2">
      <c r="A307" t="s">
        <v>338</v>
      </c>
      <c r="B307" t="s">
        <v>34</v>
      </c>
      <c r="C307" t="s">
        <v>55</v>
      </c>
      <c r="D307">
        <v>4.7</v>
      </c>
      <c r="E307">
        <v>11</v>
      </c>
      <c r="F307">
        <v>3.7</v>
      </c>
      <c r="G307">
        <v>1.1000000000000001</v>
      </c>
      <c r="H307">
        <v>0</v>
      </c>
      <c r="I307">
        <v>0</v>
      </c>
      <c r="J307">
        <v>270</v>
      </c>
      <c r="K307">
        <v>1</v>
      </c>
      <c r="L307">
        <v>4</v>
      </c>
      <c r="M307">
        <v>11</v>
      </c>
      <c r="N307">
        <v>0</v>
      </c>
      <c r="O307">
        <v>10.1</v>
      </c>
      <c r="P307">
        <v>0</v>
      </c>
      <c r="Q307">
        <v>0</v>
      </c>
      <c r="R307">
        <v>0</v>
      </c>
      <c r="S307">
        <v>2.2999999999999998</v>
      </c>
      <c r="T307">
        <v>0</v>
      </c>
      <c r="U307">
        <v>0</v>
      </c>
      <c r="V307">
        <v>0</v>
      </c>
      <c r="W307">
        <v>3.97</v>
      </c>
      <c r="X307">
        <v>3</v>
      </c>
      <c r="Y307" t="s">
        <v>1000</v>
      </c>
      <c r="Z307">
        <v>381</v>
      </c>
      <c r="AA307">
        <v>18</v>
      </c>
      <c r="AB307">
        <v>643</v>
      </c>
      <c r="AC307">
        <v>80</v>
      </c>
      <c r="AD307">
        <v>99</v>
      </c>
      <c r="AE307">
        <v>10</v>
      </c>
      <c r="AF307">
        <v>168</v>
      </c>
      <c r="AG307">
        <v>24</v>
      </c>
      <c r="AH307">
        <f>fpl_player_statistics_cleaned[[#This Row],[Total Points]] / fpl_player_statistics_cleaned[[#This Row],[Now Cost]]</f>
        <v>2.3404255319148937</v>
      </c>
      <c r="AI307">
        <f>fpl_player_statistics_cleaned[[#This Row],[Goals Scored]] + fpl_player_statistics_cleaned[[#This Row],[Assists]]</f>
        <v>0</v>
      </c>
      <c r="AJ307">
        <f>fpl_player_statistics_cleaned[[#This Row],[Total Points]] / fpl_player_statistics_cleaned[[#This Row],[Starts]]</f>
        <v>3.6666666666666665</v>
      </c>
      <c r="AK307">
        <f>((fpl_player_statistics_cleaned[[#This Row],[Points Per Game]]) * fpl_player_statistics_cleaned[[#This Row],[Form]]) / fpl_player_statistics_cleaned[[#This Row],[Now Cost]]</f>
        <v>0</v>
      </c>
      <c r="AL307">
        <f>fpl_player_statistics_cleaned[[#This Row],[Minutes]] / fpl_player_statistics_cleaned[[#This Row],[Total Points]]</f>
        <v>24.545454545454547</v>
      </c>
      <c r="AM30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308" spans="1:39" hidden="1" x14ac:dyDescent="0.2">
      <c r="A308" t="s">
        <v>339</v>
      </c>
      <c r="B308" t="s">
        <v>47</v>
      </c>
      <c r="C308" t="s">
        <v>41</v>
      </c>
      <c r="D308">
        <v>10.3</v>
      </c>
      <c r="E308">
        <v>11</v>
      </c>
      <c r="F308">
        <v>3.7</v>
      </c>
      <c r="G308">
        <v>9</v>
      </c>
      <c r="H308">
        <v>1</v>
      </c>
      <c r="I308">
        <v>0</v>
      </c>
      <c r="J308">
        <v>144</v>
      </c>
      <c r="K308">
        <v>1</v>
      </c>
      <c r="L308">
        <v>2</v>
      </c>
      <c r="M308">
        <v>0</v>
      </c>
      <c r="N308">
        <v>1</v>
      </c>
      <c r="O308">
        <v>12.9</v>
      </c>
      <c r="P308">
        <v>0</v>
      </c>
      <c r="Q308">
        <v>0</v>
      </c>
      <c r="R308">
        <v>0</v>
      </c>
      <c r="S308">
        <v>1.1000000000000001</v>
      </c>
      <c r="T308">
        <v>0.8</v>
      </c>
      <c r="U308">
        <v>0.12</v>
      </c>
      <c r="V308">
        <v>0.92</v>
      </c>
      <c r="W308">
        <v>2.54</v>
      </c>
      <c r="X308">
        <v>2</v>
      </c>
      <c r="Y308" t="s">
        <v>340</v>
      </c>
      <c r="Z308">
        <v>4</v>
      </c>
      <c r="AA308">
        <v>2</v>
      </c>
      <c r="AB308">
        <v>750</v>
      </c>
      <c r="AC308">
        <v>334</v>
      </c>
      <c r="AD308">
        <v>108</v>
      </c>
      <c r="AE308">
        <v>45</v>
      </c>
      <c r="AF308">
        <v>44</v>
      </c>
      <c r="AG308">
        <v>16</v>
      </c>
      <c r="AI308">
        <v>1.5555555555555556</v>
      </c>
    </row>
    <row r="309" spans="1:39" x14ac:dyDescent="0.2">
      <c r="A309" t="s">
        <v>341</v>
      </c>
      <c r="B309" t="s">
        <v>63</v>
      </c>
      <c r="C309" t="s">
        <v>38</v>
      </c>
      <c r="D309">
        <v>5.8</v>
      </c>
      <c r="E309">
        <v>11</v>
      </c>
      <c r="F309">
        <v>1.8</v>
      </c>
      <c r="G309">
        <v>1</v>
      </c>
      <c r="H309">
        <v>0</v>
      </c>
      <c r="I309">
        <v>0</v>
      </c>
      <c r="J309">
        <v>291</v>
      </c>
      <c r="K309">
        <v>1</v>
      </c>
      <c r="L309">
        <v>5</v>
      </c>
      <c r="M309">
        <v>0</v>
      </c>
      <c r="N309">
        <v>2</v>
      </c>
      <c r="O309">
        <v>21.9</v>
      </c>
      <c r="P309">
        <v>2.2000000000000002</v>
      </c>
      <c r="Q309">
        <v>1</v>
      </c>
      <c r="R309">
        <v>0.4</v>
      </c>
      <c r="S309">
        <v>1.9</v>
      </c>
      <c r="T309">
        <v>0.21</v>
      </c>
      <c r="U309">
        <v>0.54</v>
      </c>
      <c r="V309">
        <v>0.74</v>
      </c>
      <c r="W309">
        <v>3.88</v>
      </c>
      <c r="X309">
        <v>2</v>
      </c>
      <c r="Y309" t="s">
        <v>1000</v>
      </c>
      <c r="Z309">
        <v>106</v>
      </c>
      <c r="AA309">
        <v>6</v>
      </c>
      <c r="AB309">
        <v>178</v>
      </c>
      <c r="AC309">
        <v>61</v>
      </c>
      <c r="AD309">
        <v>303</v>
      </c>
      <c r="AE309">
        <v>107</v>
      </c>
      <c r="AF309">
        <v>184</v>
      </c>
      <c r="AG309">
        <v>68</v>
      </c>
      <c r="AH309">
        <f>fpl_player_statistics_cleaned[[#This Row],[Total Points]] / fpl_player_statistics_cleaned[[#This Row],[Now Cost]]</f>
        <v>1.896551724137931</v>
      </c>
      <c r="AI309">
        <f>fpl_player_statistics_cleaned[[#This Row],[Goals Scored]] + fpl_player_statistics_cleaned[[#This Row],[Assists]]</f>
        <v>0</v>
      </c>
      <c r="AJ309">
        <f>fpl_player_statistics_cleaned[[#This Row],[Total Points]] / fpl_player_statistics_cleaned[[#This Row],[Starts]]</f>
        <v>5.5</v>
      </c>
      <c r="AK309">
        <f>((fpl_player_statistics_cleaned[[#This Row],[Points Per Game]]) * fpl_player_statistics_cleaned[[#This Row],[Form]]) / fpl_player_statistics_cleaned[[#This Row],[Now Cost]]</f>
        <v>0.68275862068965532</v>
      </c>
      <c r="AL309">
        <f>fpl_player_statistics_cleaned[[#This Row],[Minutes]] / fpl_player_statistics_cleaned[[#This Row],[Total Points]]</f>
        <v>26.454545454545453</v>
      </c>
      <c r="AM30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7.5103448275862092</v>
      </c>
    </row>
    <row r="310" spans="1:39" x14ac:dyDescent="0.2">
      <c r="A310" t="s">
        <v>342</v>
      </c>
      <c r="B310" t="s">
        <v>81</v>
      </c>
      <c r="C310" t="s">
        <v>35</v>
      </c>
      <c r="D310">
        <v>5.3</v>
      </c>
      <c r="E310">
        <v>10</v>
      </c>
      <c r="F310">
        <v>1.4</v>
      </c>
      <c r="G310">
        <v>0.1</v>
      </c>
      <c r="H310">
        <v>0</v>
      </c>
      <c r="I310">
        <v>1</v>
      </c>
      <c r="J310">
        <v>84</v>
      </c>
      <c r="K310">
        <v>0</v>
      </c>
      <c r="L310">
        <v>2</v>
      </c>
      <c r="M310">
        <v>0</v>
      </c>
      <c r="N310">
        <v>0</v>
      </c>
      <c r="O310">
        <v>11.5</v>
      </c>
      <c r="P310">
        <v>1</v>
      </c>
      <c r="Q310">
        <v>0</v>
      </c>
      <c r="R310">
        <v>0.2</v>
      </c>
      <c r="S310">
        <v>1.9</v>
      </c>
      <c r="T310">
        <v>0.35</v>
      </c>
      <c r="U310">
        <v>0.11</v>
      </c>
      <c r="V310">
        <v>0.46</v>
      </c>
      <c r="W310">
        <v>2.2400000000000002</v>
      </c>
      <c r="X310">
        <v>0</v>
      </c>
      <c r="Y310" t="s">
        <v>1000</v>
      </c>
      <c r="Z310">
        <v>210</v>
      </c>
      <c r="AA310">
        <v>45</v>
      </c>
      <c r="AB310">
        <v>274</v>
      </c>
      <c r="AC310">
        <v>31</v>
      </c>
      <c r="AD310">
        <v>345</v>
      </c>
      <c r="AE310">
        <v>35</v>
      </c>
      <c r="AF310">
        <v>452</v>
      </c>
      <c r="AG310">
        <v>63</v>
      </c>
      <c r="AH310">
        <f>fpl_player_statistics_cleaned[[#This Row],[Total Points]] / fpl_player_statistics_cleaned[[#This Row],[Now Cost]]</f>
        <v>1.8867924528301887</v>
      </c>
      <c r="AI310">
        <f>fpl_player_statistics_cleaned[[#This Row],[Goals Scored]] + fpl_player_statistics_cleaned[[#This Row],[Assists]]</f>
        <v>1</v>
      </c>
      <c r="AJ310" t="e">
        <f>fpl_player_statistics_cleaned[[#This Row],[Total Points]] / fpl_player_statistics_cleaned[[#This Row],[Starts]]</f>
        <v>#DIV/0!</v>
      </c>
      <c r="AK310">
        <f>((fpl_player_statistics_cleaned[[#This Row],[Points Per Game]]) * fpl_player_statistics_cleaned[[#This Row],[Form]]) / fpl_player_statistics_cleaned[[#This Row],[Now Cost]]</f>
        <v>0.26415094339622641</v>
      </c>
      <c r="AL310">
        <f>fpl_player_statistics_cleaned[[#This Row],[Minutes]] / fpl_player_statistics_cleaned[[#This Row],[Total Points]]</f>
        <v>8.4</v>
      </c>
      <c r="AM31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2.641509433962264</v>
      </c>
    </row>
    <row r="311" spans="1:39" x14ac:dyDescent="0.2">
      <c r="A311" t="s">
        <v>946</v>
      </c>
      <c r="B311" t="s">
        <v>34</v>
      </c>
      <c r="C311" t="s">
        <v>38</v>
      </c>
      <c r="D311">
        <v>5.3</v>
      </c>
      <c r="E311">
        <v>10</v>
      </c>
      <c r="F311">
        <v>2</v>
      </c>
      <c r="G311">
        <v>0.6</v>
      </c>
      <c r="H311">
        <v>0</v>
      </c>
      <c r="I311">
        <v>0</v>
      </c>
      <c r="J311">
        <v>201</v>
      </c>
      <c r="K311">
        <v>1</v>
      </c>
      <c r="L311">
        <v>3</v>
      </c>
      <c r="M311">
        <v>0</v>
      </c>
      <c r="N311">
        <v>0</v>
      </c>
      <c r="O311">
        <v>7.6</v>
      </c>
      <c r="P311">
        <v>1.5</v>
      </c>
      <c r="Q311">
        <v>0</v>
      </c>
      <c r="R311">
        <v>0.3</v>
      </c>
      <c r="S311">
        <v>1.9</v>
      </c>
      <c r="T311">
        <v>0.28000000000000003</v>
      </c>
      <c r="U311">
        <v>0.17</v>
      </c>
      <c r="V311">
        <v>0.45</v>
      </c>
      <c r="W311">
        <v>2.16</v>
      </c>
      <c r="X311">
        <v>1</v>
      </c>
      <c r="Y311" t="s">
        <v>1000</v>
      </c>
      <c r="Z311">
        <v>191</v>
      </c>
      <c r="AA311">
        <v>25</v>
      </c>
      <c r="AB311">
        <v>228</v>
      </c>
      <c r="AC311">
        <v>75</v>
      </c>
      <c r="AD311">
        <v>280</v>
      </c>
      <c r="AE311">
        <v>101</v>
      </c>
      <c r="AF311">
        <v>219</v>
      </c>
      <c r="AG311">
        <v>80</v>
      </c>
      <c r="AH311">
        <f>fpl_player_statistics_cleaned[[#This Row],[Total Points]] / fpl_player_statistics_cleaned[[#This Row],[Now Cost]]</f>
        <v>1.8867924528301887</v>
      </c>
      <c r="AI311">
        <f>fpl_player_statistics_cleaned[[#This Row],[Goals Scored]] + fpl_player_statistics_cleaned[[#This Row],[Assists]]</f>
        <v>0</v>
      </c>
      <c r="AJ311">
        <f>fpl_player_statistics_cleaned[[#This Row],[Total Points]] / fpl_player_statistics_cleaned[[#This Row],[Starts]]</f>
        <v>10</v>
      </c>
      <c r="AK311">
        <f>((fpl_player_statistics_cleaned[[#This Row],[Points Per Game]]) * fpl_player_statistics_cleaned[[#This Row],[Form]]) / fpl_player_statistics_cleaned[[#This Row],[Now Cost]]</f>
        <v>0.56603773584905659</v>
      </c>
      <c r="AL311">
        <f>fpl_player_statistics_cleaned[[#This Row],[Minutes]] / fpl_player_statistics_cleaned[[#This Row],[Total Points]]</f>
        <v>20.100000000000001</v>
      </c>
      <c r="AM31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5.6603773584905666</v>
      </c>
    </row>
    <row r="312" spans="1:39" x14ac:dyDescent="0.2">
      <c r="A312" t="s">
        <v>343</v>
      </c>
      <c r="B312" t="s">
        <v>97</v>
      </c>
      <c r="C312" t="s">
        <v>41</v>
      </c>
      <c r="D312">
        <v>4.4000000000000004</v>
      </c>
      <c r="E312">
        <v>10</v>
      </c>
      <c r="F312">
        <v>1.7</v>
      </c>
      <c r="G312">
        <v>0.6</v>
      </c>
      <c r="H312">
        <v>0</v>
      </c>
      <c r="I312">
        <v>0</v>
      </c>
      <c r="J312">
        <v>282</v>
      </c>
      <c r="K312">
        <v>0</v>
      </c>
      <c r="L312">
        <v>5</v>
      </c>
      <c r="M312">
        <v>0</v>
      </c>
      <c r="N312">
        <v>0</v>
      </c>
      <c r="O312">
        <v>14</v>
      </c>
      <c r="P312">
        <v>1.8</v>
      </c>
      <c r="Q312">
        <v>0</v>
      </c>
      <c r="R312">
        <v>0.4</v>
      </c>
      <c r="S312">
        <v>2.2999999999999998</v>
      </c>
      <c r="T312">
        <v>0</v>
      </c>
      <c r="U312">
        <v>0.13</v>
      </c>
      <c r="V312">
        <v>0.13</v>
      </c>
      <c r="W312">
        <v>3.06</v>
      </c>
      <c r="X312">
        <v>2</v>
      </c>
      <c r="Y312" t="s">
        <v>1000</v>
      </c>
      <c r="Z312">
        <v>528</v>
      </c>
      <c r="AA312">
        <v>304</v>
      </c>
      <c r="AB312">
        <v>200</v>
      </c>
      <c r="AC312">
        <v>98</v>
      </c>
      <c r="AD312">
        <v>308</v>
      </c>
      <c r="AE312">
        <v>142</v>
      </c>
      <c r="AF312">
        <v>212</v>
      </c>
      <c r="AG312">
        <v>72</v>
      </c>
      <c r="AH312">
        <f>fpl_player_statistics_cleaned[[#This Row],[Total Points]] / fpl_player_statistics_cleaned[[#This Row],[Now Cost]]</f>
        <v>2.2727272727272725</v>
      </c>
      <c r="AI312">
        <f>fpl_player_statistics_cleaned[[#This Row],[Goals Scored]] + fpl_player_statistics_cleaned[[#This Row],[Assists]]</f>
        <v>0</v>
      </c>
      <c r="AJ312">
        <f>fpl_player_statistics_cleaned[[#This Row],[Total Points]] / fpl_player_statistics_cleaned[[#This Row],[Starts]]</f>
        <v>5</v>
      </c>
      <c r="AK312">
        <f>((fpl_player_statistics_cleaned[[#This Row],[Points Per Game]]) * fpl_player_statistics_cleaned[[#This Row],[Form]]) / fpl_player_statistics_cleaned[[#This Row],[Now Cost]]</f>
        <v>0.69545454545454544</v>
      </c>
      <c r="AL312">
        <f>fpl_player_statistics_cleaned[[#This Row],[Minutes]] / fpl_player_statistics_cleaned[[#This Row],[Total Points]]</f>
        <v>28.2</v>
      </c>
      <c r="AM31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6.9545454545454541</v>
      </c>
    </row>
    <row r="313" spans="1:39" x14ac:dyDescent="0.2">
      <c r="A313" t="s">
        <v>344</v>
      </c>
      <c r="B313" t="s">
        <v>46</v>
      </c>
      <c r="C313" t="s">
        <v>41</v>
      </c>
      <c r="D313">
        <v>4.9000000000000004</v>
      </c>
      <c r="E313">
        <v>10</v>
      </c>
      <c r="F313">
        <v>1.4</v>
      </c>
      <c r="G313">
        <v>0</v>
      </c>
      <c r="H313">
        <v>0</v>
      </c>
      <c r="I313">
        <v>0</v>
      </c>
      <c r="J313">
        <v>145</v>
      </c>
      <c r="K313">
        <v>0</v>
      </c>
      <c r="L313">
        <v>2</v>
      </c>
      <c r="M313">
        <v>0</v>
      </c>
      <c r="N313">
        <v>0</v>
      </c>
      <c r="O313">
        <v>7.6</v>
      </c>
      <c r="P313">
        <v>1.8</v>
      </c>
      <c r="Q313">
        <v>0</v>
      </c>
      <c r="R313">
        <v>0.4</v>
      </c>
      <c r="S313">
        <v>2</v>
      </c>
      <c r="T313">
        <v>0.22</v>
      </c>
      <c r="U313">
        <v>0.23</v>
      </c>
      <c r="V313">
        <v>0.45</v>
      </c>
      <c r="W313">
        <v>1.94</v>
      </c>
      <c r="X313">
        <v>0</v>
      </c>
      <c r="Y313" t="s">
        <v>1000</v>
      </c>
      <c r="Z313">
        <v>302</v>
      </c>
      <c r="AA313">
        <v>190</v>
      </c>
      <c r="AB313">
        <v>206</v>
      </c>
      <c r="AC313">
        <v>102</v>
      </c>
      <c r="AD313">
        <v>341</v>
      </c>
      <c r="AE313">
        <v>160</v>
      </c>
      <c r="AF313">
        <v>676</v>
      </c>
      <c r="AG313">
        <v>287</v>
      </c>
      <c r="AH313">
        <f>fpl_player_statistics_cleaned[[#This Row],[Total Points]] / fpl_player_statistics_cleaned[[#This Row],[Now Cost]]</f>
        <v>2.0408163265306123</v>
      </c>
      <c r="AI313">
        <f>fpl_player_statistics_cleaned[[#This Row],[Goals Scored]] + fpl_player_statistics_cleaned[[#This Row],[Assists]]</f>
        <v>0</v>
      </c>
      <c r="AJ313" t="e">
        <f>fpl_player_statistics_cleaned[[#This Row],[Total Points]] / fpl_player_statistics_cleaned[[#This Row],[Starts]]</f>
        <v>#DIV/0!</v>
      </c>
      <c r="AK313">
        <f>((fpl_player_statistics_cleaned[[#This Row],[Points Per Game]]) * fpl_player_statistics_cleaned[[#This Row],[Form]]) / fpl_player_statistics_cleaned[[#This Row],[Now Cost]]</f>
        <v>0.51428571428571423</v>
      </c>
      <c r="AL313">
        <f>fpl_player_statistics_cleaned[[#This Row],[Minutes]] / fpl_player_statistics_cleaned[[#This Row],[Total Points]]</f>
        <v>14.5</v>
      </c>
      <c r="AM31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5.1428571428571423</v>
      </c>
    </row>
    <row r="314" spans="1:39" hidden="1" x14ac:dyDescent="0.2">
      <c r="A314" t="s">
        <v>947</v>
      </c>
      <c r="B314" t="s">
        <v>97</v>
      </c>
      <c r="C314" t="s">
        <v>35</v>
      </c>
      <c r="D314">
        <v>5.6</v>
      </c>
      <c r="E314">
        <v>10</v>
      </c>
      <c r="F314">
        <v>1.7</v>
      </c>
      <c r="G314">
        <v>0.7</v>
      </c>
      <c r="H314">
        <v>0</v>
      </c>
      <c r="I314">
        <v>0</v>
      </c>
      <c r="J314">
        <v>379</v>
      </c>
      <c r="K314">
        <v>1</v>
      </c>
      <c r="L314">
        <v>9</v>
      </c>
      <c r="M314">
        <v>0</v>
      </c>
      <c r="N314">
        <v>0</v>
      </c>
      <c r="O314">
        <v>21.9</v>
      </c>
      <c r="P314">
        <v>0</v>
      </c>
      <c r="Q314">
        <v>0</v>
      </c>
      <c r="R314">
        <v>0</v>
      </c>
      <c r="S314">
        <v>1.8</v>
      </c>
      <c r="T314">
        <v>0.86</v>
      </c>
      <c r="U314">
        <v>0.18</v>
      </c>
      <c r="V314">
        <v>1.04</v>
      </c>
      <c r="W314">
        <v>5.93</v>
      </c>
      <c r="X314">
        <v>5</v>
      </c>
      <c r="Y314" t="s">
        <v>255</v>
      </c>
      <c r="Z314">
        <v>127</v>
      </c>
      <c r="AA314">
        <v>32</v>
      </c>
      <c r="AB314">
        <v>728</v>
      </c>
      <c r="AC314">
        <v>76</v>
      </c>
      <c r="AD314">
        <v>314</v>
      </c>
      <c r="AE314">
        <v>31</v>
      </c>
      <c r="AF314">
        <v>207</v>
      </c>
      <c r="AG314">
        <v>31</v>
      </c>
      <c r="AI314">
        <v>1.6279069767441861</v>
      </c>
    </row>
    <row r="315" spans="1:39" hidden="1" x14ac:dyDescent="0.2">
      <c r="A315" t="s">
        <v>345</v>
      </c>
      <c r="B315" t="s">
        <v>37</v>
      </c>
      <c r="C315" t="s">
        <v>41</v>
      </c>
      <c r="D315">
        <v>6.8</v>
      </c>
      <c r="E315">
        <v>10</v>
      </c>
      <c r="F315">
        <v>2</v>
      </c>
      <c r="G315">
        <v>0.6</v>
      </c>
      <c r="H315">
        <v>0</v>
      </c>
      <c r="I315">
        <v>0</v>
      </c>
      <c r="J315">
        <v>304</v>
      </c>
      <c r="K315">
        <v>2</v>
      </c>
      <c r="L315">
        <v>2</v>
      </c>
      <c r="M315">
        <v>0</v>
      </c>
      <c r="N315">
        <v>0</v>
      </c>
      <c r="O315">
        <v>24.6</v>
      </c>
      <c r="P315">
        <v>0</v>
      </c>
      <c r="Q315">
        <v>0</v>
      </c>
      <c r="R315">
        <v>0</v>
      </c>
      <c r="S315">
        <v>1.5</v>
      </c>
      <c r="T315">
        <v>0.28999999999999998</v>
      </c>
      <c r="U315">
        <v>0.86</v>
      </c>
      <c r="V315">
        <v>1.1499999999999999</v>
      </c>
      <c r="W315">
        <v>2.04</v>
      </c>
      <c r="X315">
        <v>4</v>
      </c>
      <c r="Y315" t="s">
        <v>307</v>
      </c>
      <c r="Z315">
        <v>44</v>
      </c>
      <c r="AA315">
        <v>28</v>
      </c>
      <c r="AB315">
        <v>741</v>
      </c>
      <c r="AC315">
        <v>328</v>
      </c>
      <c r="AD315">
        <v>284</v>
      </c>
      <c r="AE315">
        <v>129</v>
      </c>
      <c r="AF315">
        <v>225</v>
      </c>
      <c r="AG315">
        <v>77</v>
      </c>
      <c r="AI315">
        <v>1.4285714285714284</v>
      </c>
    </row>
    <row r="316" spans="1:39" x14ac:dyDescent="0.2">
      <c r="A316" t="s">
        <v>346</v>
      </c>
      <c r="B316" t="s">
        <v>92</v>
      </c>
      <c r="C316" t="s">
        <v>38</v>
      </c>
      <c r="D316">
        <v>4.4000000000000004</v>
      </c>
      <c r="E316">
        <v>10</v>
      </c>
      <c r="F316">
        <v>1.4</v>
      </c>
      <c r="G316">
        <v>0.1</v>
      </c>
      <c r="H316">
        <v>0</v>
      </c>
      <c r="I316">
        <v>0</v>
      </c>
      <c r="J316">
        <v>397</v>
      </c>
      <c r="K316">
        <v>0</v>
      </c>
      <c r="L316">
        <v>10</v>
      </c>
      <c r="M316">
        <v>0</v>
      </c>
      <c r="N316">
        <v>0</v>
      </c>
      <c r="O316">
        <v>15.8</v>
      </c>
      <c r="P316">
        <v>0.8</v>
      </c>
      <c r="Q316">
        <v>0</v>
      </c>
      <c r="R316">
        <v>0.2</v>
      </c>
      <c r="S316">
        <v>2.2999999999999998</v>
      </c>
      <c r="T316">
        <v>0.42</v>
      </c>
      <c r="U316">
        <v>0.12</v>
      </c>
      <c r="V316">
        <v>0.54</v>
      </c>
      <c r="W316">
        <v>8.23</v>
      </c>
      <c r="X316">
        <v>5</v>
      </c>
      <c r="Y316" t="s">
        <v>1000</v>
      </c>
      <c r="Z316">
        <v>498</v>
      </c>
      <c r="AA316">
        <v>109</v>
      </c>
      <c r="AB316">
        <v>286</v>
      </c>
      <c r="AC316">
        <v>96</v>
      </c>
      <c r="AD316">
        <v>337</v>
      </c>
      <c r="AE316">
        <v>120</v>
      </c>
      <c r="AF316">
        <v>455</v>
      </c>
      <c r="AG316">
        <v>167</v>
      </c>
      <c r="AH316">
        <f>fpl_player_statistics_cleaned[[#This Row],[Total Points]] / fpl_player_statistics_cleaned[[#This Row],[Now Cost]]</f>
        <v>2.2727272727272725</v>
      </c>
      <c r="AI316">
        <f>fpl_player_statistics_cleaned[[#This Row],[Goals Scored]] + fpl_player_statistics_cleaned[[#This Row],[Assists]]</f>
        <v>0</v>
      </c>
      <c r="AJ316">
        <f>fpl_player_statistics_cleaned[[#This Row],[Total Points]] / fpl_player_statistics_cleaned[[#This Row],[Starts]]</f>
        <v>2</v>
      </c>
      <c r="AK316">
        <f>((fpl_player_statistics_cleaned[[#This Row],[Points Per Game]]) * fpl_player_statistics_cleaned[[#This Row],[Form]]) / fpl_player_statistics_cleaned[[#This Row],[Now Cost]]</f>
        <v>0.25454545454545452</v>
      </c>
      <c r="AL316">
        <f>fpl_player_statistics_cleaned[[#This Row],[Minutes]] / fpl_player_statistics_cleaned[[#This Row],[Total Points]]</f>
        <v>39.700000000000003</v>
      </c>
      <c r="AM31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2.5454545454545454</v>
      </c>
    </row>
    <row r="317" spans="1:39" x14ac:dyDescent="0.2">
      <c r="A317" t="s">
        <v>347</v>
      </c>
      <c r="B317" t="s">
        <v>92</v>
      </c>
      <c r="C317" t="s">
        <v>41</v>
      </c>
      <c r="D317">
        <v>5.9</v>
      </c>
      <c r="E317">
        <v>10</v>
      </c>
      <c r="F317">
        <v>1.2</v>
      </c>
      <c r="G317">
        <v>0.1</v>
      </c>
      <c r="H317">
        <v>0</v>
      </c>
      <c r="I317">
        <v>0</v>
      </c>
      <c r="J317">
        <v>314</v>
      </c>
      <c r="K317">
        <v>1</v>
      </c>
      <c r="L317">
        <v>6</v>
      </c>
      <c r="M317">
        <v>0</v>
      </c>
      <c r="N317">
        <v>0</v>
      </c>
      <c r="O317">
        <v>17.5</v>
      </c>
      <c r="P317">
        <v>1.8</v>
      </c>
      <c r="Q317">
        <v>0</v>
      </c>
      <c r="R317">
        <v>0.3</v>
      </c>
      <c r="S317">
        <v>1.7</v>
      </c>
      <c r="T317">
        <v>0.08</v>
      </c>
      <c r="U317">
        <v>0.22</v>
      </c>
      <c r="V317">
        <v>0.3</v>
      </c>
      <c r="W317">
        <v>4.1399999999999997</v>
      </c>
      <c r="X317">
        <v>2</v>
      </c>
      <c r="Y317" t="s">
        <v>1000</v>
      </c>
      <c r="Z317">
        <v>103</v>
      </c>
      <c r="AA317">
        <v>70</v>
      </c>
      <c r="AB317">
        <v>217</v>
      </c>
      <c r="AC317">
        <v>108</v>
      </c>
      <c r="AD317">
        <v>363</v>
      </c>
      <c r="AE317">
        <v>171</v>
      </c>
      <c r="AF317">
        <v>541</v>
      </c>
      <c r="AG317">
        <v>197</v>
      </c>
      <c r="AH317">
        <f>fpl_player_statistics_cleaned[[#This Row],[Total Points]] / fpl_player_statistics_cleaned[[#This Row],[Now Cost]]</f>
        <v>1.6949152542372881</v>
      </c>
      <c r="AI317">
        <f>fpl_player_statistics_cleaned[[#This Row],[Goals Scored]] + fpl_player_statistics_cleaned[[#This Row],[Assists]]</f>
        <v>0</v>
      </c>
      <c r="AJ317">
        <f>fpl_player_statistics_cleaned[[#This Row],[Total Points]] / fpl_player_statistics_cleaned[[#This Row],[Starts]]</f>
        <v>5</v>
      </c>
      <c r="AK317">
        <f>((fpl_player_statistics_cleaned[[#This Row],[Points Per Game]]) * fpl_player_statistics_cleaned[[#This Row],[Form]]) / fpl_player_statistics_cleaned[[#This Row],[Now Cost]]</f>
        <v>0.36610169491525424</v>
      </c>
      <c r="AL317">
        <f>fpl_player_statistics_cleaned[[#This Row],[Minutes]] / fpl_player_statistics_cleaned[[#This Row],[Total Points]]</f>
        <v>31.4</v>
      </c>
      <c r="AM31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3.6610169491525419</v>
      </c>
    </row>
    <row r="318" spans="1:39" x14ac:dyDescent="0.2">
      <c r="A318" t="s">
        <v>348</v>
      </c>
      <c r="B318" t="s">
        <v>70</v>
      </c>
      <c r="C318" t="s">
        <v>41</v>
      </c>
      <c r="D318">
        <v>4.8</v>
      </c>
      <c r="E318">
        <v>10</v>
      </c>
      <c r="F318">
        <v>2</v>
      </c>
      <c r="G318">
        <v>0</v>
      </c>
      <c r="H318">
        <v>1</v>
      </c>
      <c r="I318">
        <v>0</v>
      </c>
      <c r="J318">
        <v>80</v>
      </c>
      <c r="K318">
        <v>0</v>
      </c>
      <c r="L318">
        <v>0</v>
      </c>
      <c r="M318">
        <v>0</v>
      </c>
      <c r="N318">
        <v>0</v>
      </c>
      <c r="O318">
        <v>13.4</v>
      </c>
      <c r="P318">
        <v>2.2000000000000002</v>
      </c>
      <c r="Q318">
        <v>0</v>
      </c>
      <c r="R318">
        <v>0.5</v>
      </c>
      <c r="S318">
        <v>2.1</v>
      </c>
      <c r="T318">
        <v>0.43</v>
      </c>
      <c r="U318">
        <v>0.15</v>
      </c>
      <c r="V318">
        <v>0.57999999999999996</v>
      </c>
      <c r="W318">
        <v>1.01</v>
      </c>
      <c r="X318">
        <v>0</v>
      </c>
      <c r="Y318" t="s">
        <v>1000</v>
      </c>
      <c r="Z318">
        <v>351</v>
      </c>
      <c r="AA318">
        <v>222</v>
      </c>
      <c r="AB318">
        <v>166</v>
      </c>
      <c r="AC318">
        <v>73</v>
      </c>
      <c r="AD318">
        <v>274</v>
      </c>
      <c r="AE318">
        <v>123</v>
      </c>
      <c r="AF318">
        <v>586</v>
      </c>
      <c r="AG318">
        <v>224</v>
      </c>
      <c r="AH318">
        <f>fpl_player_statistics_cleaned[[#This Row],[Total Points]] / fpl_player_statistics_cleaned[[#This Row],[Now Cost]]</f>
        <v>2.0833333333333335</v>
      </c>
      <c r="AI318">
        <f>fpl_player_statistics_cleaned[[#This Row],[Goals Scored]] + fpl_player_statistics_cleaned[[#This Row],[Assists]]</f>
        <v>1</v>
      </c>
      <c r="AJ318" t="e">
        <f>fpl_player_statistics_cleaned[[#This Row],[Total Points]] / fpl_player_statistics_cleaned[[#This Row],[Starts]]</f>
        <v>#DIV/0!</v>
      </c>
      <c r="AK318">
        <f>((fpl_player_statistics_cleaned[[#This Row],[Points Per Game]]) * fpl_player_statistics_cleaned[[#This Row],[Form]]) / fpl_player_statistics_cleaned[[#This Row],[Now Cost]]</f>
        <v>0.91666666666666674</v>
      </c>
      <c r="AL318">
        <f>fpl_player_statistics_cleaned[[#This Row],[Minutes]] / fpl_player_statistics_cleaned[[#This Row],[Total Points]]</f>
        <v>8</v>
      </c>
      <c r="AM31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9.1666666666666679</v>
      </c>
    </row>
    <row r="319" spans="1:39" hidden="1" x14ac:dyDescent="0.2">
      <c r="A319" t="s">
        <v>349</v>
      </c>
      <c r="B319" t="s">
        <v>63</v>
      </c>
      <c r="C319" t="s">
        <v>35</v>
      </c>
      <c r="D319">
        <v>10.4</v>
      </c>
      <c r="E319">
        <v>10</v>
      </c>
      <c r="F319">
        <v>2.5</v>
      </c>
      <c r="G319">
        <v>4.5999999999999996</v>
      </c>
      <c r="H319">
        <v>0</v>
      </c>
      <c r="I319">
        <v>1</v>
      </c>
      <c r="J319">
        <v>250</v>
      </c>
      <c r="K319">
        <v>0</v>
      </c>
      <c r="L319">
        <v>3</v>
      </c>
      <c r="M319">
        <v>0</v>
      </c>
      <c r="N319">
        <v>0</v>
      </c>
      <c r="O319">
        <v>8.6999999999999993</v>
      </c>
      <c r="P319">
        <v>0.5</v>
      </c>
      <c r="Q319">
        <v>0</v>
      </c>
      <c r="R319">
        <v>0</v>
      </c>
      <c r="S319">
        <v>1</v>
      </c>
      <c r="T319">
        <v>0.94</v>
      </c>
      <c r="U319">
        <v>0.03</v>
      </c>
      <c r="V319">
        <v>0.97</v>
      </c>
      <c r="W319">
        <v>3.32</v>
      </c>
      <c r="X319">
        <v>3</v>
      </c>
      <c r="Y319" t="s">
        <v>350</v>
      </c>
      <c r="Z319">
        <v>3</v>
      </c>
      <c r="AA319">
        <v>2</v>
      </c>
      <c r="AB319">
        <v>339</v>
      </c>
      <c r="AC319">
        <v>41</v>
      </c>
      <c r="AD319">
        <v>216</v>
      </c>
      <c r="AE319">
        <v>22</v>
      </c>
      <c r="AF319">
        <v>78</v>
      </c>
      <c r="AG319">
        <v>16</v>
      </c>
      <c r="AI319">
        <v>1.2</v>
      </c>
    </row>
    <row r="320" spans="1:39" x14ac:dyDescent="0.2">
      <c r="A320" t="s">
        <v>351</v>
      </c>
      <c r="B320" t="s">
        <v>54</v>
      </c>
      <c r="C320" t="s">
        <v>38</v>
      </c>
      <c r="D320">
        <v>4.5</v>
      </c>
      <c r="E320">
        <v>10</v>
      </c>
      <c r="F320">
        <v>1.2</v>
      </c>
      <c r="G320">
        <v>0</v>
      </c>
      <c r="H320">
        <v>0</v>
      </c>
      <c r="I320">
        <v>0</v>
      </c>
      <c r="J320">
        <v>337</v>
      </c>
      <c r="K320">
        <v>0</v>
      </c>
      <c r="L320">
        <v>4</v>
      </c>
      <c r="M320">
        <v>0</v>
      </c>
      <c r="N320">
        <v>0</v>
      </c>
      <c r="O320">
        <v>11.5</v>
      </c>
      <c r="P320">
        <v>1.5</v>
      </c>
      <c r="Q320">
        <v>0</v>
      </c>
      <c r="R320">
        <v>0.3</v>
      </c>
      <c r="S320">
        <v>2.2000000000000002</v>
      </c>
      <c r="T320">
        <v>0.33</v>
      </c>
      <c r="U320">
        <v>0.3</v>
      </c>
      <c r="V320">
        <v>0.63</v>
      </c>
      <c r="W320">
        <v>5.87</v>
      </c>
      <c r="X320">
        <v>3</v>
      </c>
      <c r="Y320" t="s">
        <v>1000</v>
      </c>
      <c r="Z320">
        <v>416</v>
      </c>
      <c r="AA320">
        <v>85</v>
      </c>
      <c r="AB320">
        <v>225</v>
      </c>
      <c r="AC320">
        <v>74</v>
      </c>
      <c r="AD320">
        <v>360</v>
      </c>
      <c r="AE320">
        <v>126</v>
      </c>
      <c r="AF320">
        <v>637</v>
      </c>
      <c r="AG320">
        <v>221</v>
      </c>
      <c r="AH320">
        <f>fpl_player_statistics_cleaned[[#This Row],[Total Points]] / fpl_player_statistics_cleaned[[#This Row],[Now Cost]]</f>
        <v>2.2222222222222223</v>
      </c>
      <c r="AI320">
        <f>fpl_player_statistics_cleaned[[#This Row],[Goals Scored]] + fpl_player_statistics_cleaned[[#This Row],[Assists]]</f>
        <v>0</v>
      </c>
      <c r="AJ320">
        <f>fpl_player_statistics_cleaned[[#This Row],[Total Points]] / fpl_player_statistics_cleaned[[#This Row],[Starts]]</f>
        <v>3.3333333333333335</v>
      </c>
      <c r="AK320">
        <f>((fpl_player_statistics_cleaned[[#This Row],[Points Per Game]]) * fpl_player_statistics_cleaned[[#This Row],[Form]]) / fpl_player_statistics_cleaned[[#This Row],[Now Cost]]</f>
        <v>0.39999999999999997</v>
      </c>
      <c r="AL320">
        <f>fpl_player_statistics_cleaned[[#This Row],[Minutes]] / fpl_player_statistics_cleaned[[#This Row],[Total Points]]</f>
        <v>33.700000000000003</v>
      </c>
      <c r="AM32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4</v>
      </c>
    </row>
    <row r="321" spans="1:39" x14ac:dyDescent="0.2">
      <c r="A321" t="s">
        <v>352</v>
      </c>
      <c r="B321" t="s">
        <v>100</v>
      </c>
      <c r="C321" t="s">
        <v>55</v>
      </c>
      <c r="D321">
        <v>4</v>
      </c>
      <c r="E321">
        <v>10</v>
      </c>
      <c r="F321">
        <v>2</v>
      </c>
      <c r="G321">
        <v>2.2999999999999998</v>
      </c>
      <c r="H321">
        <v>0</v>
      </c>
      <c r="I321">
        <v>0</v>
      </c>
      <c r="J321">
        <v>450</v>
      </c>
      <c r="K321">
        <v>0</v>
      </c>
      <c r="L321">
        <v>8</v>
      </c>
      <c r="M321">
        <v>13</v>
      </c>
      <c r="N321">
        <v>0</v>
      </c>
      <c r="O321">
        <v>10.5</v>
      </c>
      <c r="P321">
        <v>0.2</v>
      </c>
      <c r="Q321">
        <v>0</v>
      </c>
      <c r="R321">
        <v>0</v>
      </c>
      <c r="S321">
        <v>2.5</v>
      </c>
      <c r="T321">
        <v>0</v>
      </c>
      <c r="U321">
        <v>0.01</v>
      </c>
      <c r="V321">
        <v>0.01</v>
      </c>
      <c r="W321">
        <v>4.43</v>
      </c>
      <c r="X321">
        <v>5</v>
      </c>
      <c r="Y321" t="s">
        <v>1000</v>
      </c>
      <c r="Z321">
        <v>617</v>
      </c>
      <c r="AA321">
        <v>40</v>
      </c>
      <c r="AB321">
        <v>341</v>
      </c>
      <c r="AC321">
        <v>21</v>
      </c>
      <c r="AD321">
        <v>269</v>
      </c>
      <c r="AE321">
        <v>25</v>
      </c>
      <c r="AF321">
        <v>118</v>
      </c>
      <c r="AG321">
        <v>15</v>
      </c>
      <c r="AH321">
        <f>fpl_player_statistics_cleaned[[#This Row],[Total Points]] / fpl_player_statistics_cleaned[[#This Row],[Now Cost]]</f>
        <v>2.5</v>
      </c>
      <c r="AI321">
        <f>fpl_player_statistics_cleaned[[#This Row],[Goals Scored]] + fpl_player_statistics_cleaned[[#This Row],[Assists]]</f>
        <v>0</v>
      </c>
      <c r="AJ321">
        <f>fpl_player_statistics_cleaned[[#This Row],[Total Points]] / fpl_player_statistics_cleaned[[#This Row],[Starts]]</f>
        <v>2</v>
      </c>
      <c r="AK321">
        <f>((fpl_player_statistics_cleaned[[#This Row],[Points Per Game]]) * fpl_player_statistics_cleaned[[#This Row],[Form]]) / fpl_player_statistics_cleaned[[#This Row],[Now Cost]]</f>
        <v>0.1</v>
      </c>
      <c r="AL321">
        <f>fpl_player_statistics_cleaned[[#This Row],[Minutes]] / fpl_player_statistics_cleaned[[#This Row],[Total Points]]</f>
        <v>45</v>
      </c>
      <c r="AM32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</v>
      </c>
    </row>
    <row r="322" spans="1:39" x14ac:dyDescent="0.2">
      <c r="A322" t="s">
        <v>353</v>
      </c>
      <c r="B322" t="s">
        <v>49</v>
      </c>
      <c r="C322" t="s">
        <v>38</v>
      </c>
      <c r="D322">
        <v>4.9000000000000004</v>
      </c>
      <c r="E322">
        <v>10</v>
      </c>
      <c r="F322">
        <v>2</v>
      </c>
      <c r="G322">
        <v>0.2</v>
      </c>
      <c r="H322">
        <v>0</v>
      </c>
      <c r="I322">
        <v>0</v>
      </c>
      <c r="J322">
        <v>200</v>
      </c>
      <c r="K322">
        <v>1</v>
      </c>
      <c r="L322">
        <v>2</v>
      </c>
      <c r="M322">
        <v>0</v>
      </c>
      <c r="N322">
        <v>1</v>
      </c>
      <c r="O322">
        <v>6.6</v>
      </c>
      <c r="P322">
        <v>0.2</v>
      </c>
      <c r="Q322">
        <v>0</v>
      </c>
      <c r="R322">
        <v>0</v>
      </c>
      <c r="S322">
        <v>2</v>
      </c>
      <c r="T322">
        <v>0</v>
      </c>
      <c r="U322">
        <v>0.15</v>
      </c>
      <c r="V322">
        <v>0.15</v>
      </c>
      <c r="W322">
        <v>2.35</v>
      </c>
      <c r="X322">
        <v>3</v>
      </c>
      <c r="Y322" t="s">
        <v>1000</v>
      </c>
      <c r="Z322">
        <v>312</v>
      </c>
      <c r="AA322">
        <v>50</v>
      </c>
      <c r="AB322">
        <v>367</v>
      </c>
      <c r="AC322">
        <v>130</v>
      </c>
      <c r="AD322">
        <v>277</v>
      </c>
      <c r="AE322">
        <v>100</v>
      </c>
      <c r="AF322">
        <v>379</v>
      </c>
      <c r="AG322">
        <v>136</v>
      </c>
      <c r="AH322">
        <f>fpl_player_statistics_cleaned[[#This Row],[Total Points]] / fpl_player_statistics_cleaned[[#This Row],[Now Cost]]</f>
        <v>2.0408163265306123</v>
      </c>
      <c r="AI322">
        <f>fpl_player_statistics_cleaned[[#This Row],[Goals Scored]] + fpl_player_statistics_cleaned[[#This Row],[Assists]]</f>
        <v>0</v>
      </c>
      <c r="AJ322">
        <f>fpl_player_statistics_cleaned[[#This Row],[Total Points]] / fpl_player_statistics_cleaned[[#This Row],[Starts]]</f>
        <v>3.3333333333333335</v>
      </c>
      <c r="AK322">
        <f>((fpl_player_statistics_cleaned[[#This Row],[Points Per Game]]) * fpl_player_statistics_cleaned[[#This Row],[Form]]) / fpl_player_statistics_cleaned[[#This Row],[Now Cost]]</f>
        <v>8.1632653061224483E-2</v>
      </c>
      <c r="AL322">
        <f>fpl_player_statistics_cleaned[[#This Row],[Minutes]] / fpl_player_statistics_cleaned[[#This Row],[Total Points]]</f>
        <v>20</v>
      </c>
      <c r="AM32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0.81632653061224481</v>
      </c>
    </row>
    <row r="323" spans="1:39" x14ac:dyDescent="0.2">
      <c r="A323" t="s">
        <v>354</v>
      </c>
      <c r="B323" t="s">
        <v>72</v>
      </c>
      <c r="C323" t="s">
        <v>38</v>
      </c>
      <c r="D323">
        <v>5.2</v>
      </c>
      <c r="E323">
        <v>9</v>
      </c>
      <c r="F323">
        <v>2.2000000000000002</v>
      </c>
      <c r="G323">
        <v>0.7</v>
      </c>
      <c r="H323">
        <v>0</v>
      </c>
      <c r="I323">
        <v>0</v>
      </c>
      <c r="J323">
        <v>146</v>
      </c>
      <c r="K323">
        <v>1</v>
      </c>
      <c r="L323">
        <v>3</v>
      </c>
      <c r="M323">
        <v>0</v>
      </c>
      <c r="N323">
        <v>1</v>
      </c>
      <c r="O323">
        <v>5.0999999999999996</v>
      </c>
      <c r="P323">
        <v>0</v>
      </c>
      <c r="Q323">
        <v>0</v>
      </c>
      <c r="R323">
        <v>0</v>
      </c>
      <c r="S323">
        <v>1.7</v>
      </c>
      <c r="T323">
        <v>0.04</v>
      </c>
      <c r="U323">
        <v>0.11</v>
      </c>
      <c r="V323">
        <v>0.15</v>
      </c>
      <c r="W323">
        <v>2.82</v>
      </c>
      <c r="X323">
        <v>1</v>
      </c>
      <c r="Y323" t="s">
        <v>1000</v>
      </c>
      <c r="Z323">
        <v>223</v>
      </c>
      <c r="AA323">
        <v>32</v>
      </c>
      <c r="AB323">
        <v>700</v>
      </c>
      <c r="AC323">
        <v>242</v>
      </c>
      <c r="AD323">
        <v>243</v>
      </c>
      <c r="AE323">
        <v>87</v>
      </c>
      <c r="AF323">
        <v>197</v>
      </c>
      <c r="AG323">
        <v>75</v>
      </c>
      <c r="AH323">
        <f>fpl_player_statistics_cleaned[[#This Row],[Total Points]] / fpl_player_statistics_cleaned[[#This Row],[Now Cost]]</f>
        <v>1.7307692307692306</v>
      </c>
      <c r="AI323">
        <f>fpl_player_statistics_cleaned[[#This Row],[Goals Scored]] + fpl_player_statistics_cleaned[[#This Row],[Assists]]</f>
        <v>0</v>
      </c>
      <c r="AJ323">
        <f>fpl_player_statistics_cleaned[[#This Row],[Total Points]] / fpl_player_statistics_cleaned[[#This Row],[Starts]]</f>
        <v>9</v>
      </c>
      <c r="AK323">
        <f>((fpl_player_statistics_cleaned[[#This Row],[Points Per Game]]) * fpl_player_statistics_cleaned[[#This Row],[Form]]) / fpl_player_statistics_cleaned[[#This Row],[Now Cost]]</f>
        <v>0</v>
      </c>
      <c r="AL323">
        <f>fpl_player_statistics_cleaned[[#This Row],[Minutes]] / fpl_player_statistics_cleaned[[#This Row],[Total Points]]</f>
        <v>16.222222222222221</v>
      </c>
      <c r="AM32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324" spans="1:39" x14ac:dyDescent="0.2">
      <c r="A324" t="s">
        <v>355</v>
      </c>
      <c r="B324" t="s">
        <v>40</v>
      </c>
      <c r="C324" t="s">
        <v>38</v>
      </c>
      <c r="D324">
        <v>4.4000000000000004</v>
      </c>
      <c r="E324">
        <v>9</v>
      </c>
      <c r="F324">
        <v>2.2000000000000002</v>
      </c>
      <c r="G324">
        <v>0.2</v>
      </c>
      <c r="H324">
        <v>0</v>
      </c>
      <c r="I324">
        <v>0</v>
      </c>
      <c r="J324">
        <v>213</v>
      </c>
      <c r="K324">
        <v>1</v>
      </c>
      <c r="L324">
        <v>3</v>
      </c>
      <c r="M324">
        <v>0</v>
      </c>
      <c r="N324">
        <v>0</v>
      </c>
      <c r="O324">
        <v>3.6</v>
      </c>
      <c r="P324">
        <v>0.2</v>
      </c>
      <c r="Q324">
        <v>0</v>
      </c>
      <c r="R324">
        <v>0</v>
      </c>
      <c r="S324">
        <v>2</v>
      </c>
      <c r="T324">
        <v>0</v>
      </c>
      <c r="U324">
        <v>0.09</v>
      </c>
      <c r="V324">
        <v>0.09</v>
      </c>
      <c r="W324">
        <v>2.57</v>
      </c>
      <c r="X324">
        <v>4</v>
      </c>
      <c r="Y324" t="s">
        <v>1000</v>
      </c>
      <c r="Z324">
        <v>491</v>
      </c>
      <c r="AA324">
        <v>102</v>
      </c>
      <c r="AB324">
        <v>350</v>
      </c>
      <c r="AC324">
        <v>120</v>
      </c>
      <c r="AD324">
        <v>234</v>
      </c>
      <c r="AE324">
        <v>84</v>
      </c>
      <c r="AF324">
        <v>394</v>
      </c>
      <c r="AG324">
        <v>145</v>
      </c>
      <c r="AH324">
        <f>fpl_player_statistics_cleaned[[#This Row],[Total Points]] / fpl_player_statistics_cleaned[[#This Row],[Now Cost]]</f>
        <v>2.0454545454545454</v>
      </c>
      <c r="AI324">
        <f>fpl_player_statistics_cleaned[[#This Row],[Goals Scored]] + fpl_player_statistics_cleaned[[#This Row],[Assists]]</f>
        <v>0</v>
      </c>
      <c r="AJ324">
        <f>fpl_player_statistics_cleaned[[#This Row],[Total Points]] / fpl_player_statistics_cleaned[[#This Row],[Starts]]</f>
        <v>2.25</v>
      </c>
      <c r="AK324">
        <f>((fpl_player_statistics_cleaned[[#This Row],[Points Per Game]]) * fpl_player_statistics_cleaned[[#This Row],[Form]]) / fpl_player_statistics_cleaned[[#This Row],[Now Cost]]</f>
        <v>0.1</v>
      </c>
      <c r="AL324">
        <f>fpl_player_statistics_cleaned[[#This Row],[Minutes]] / fpl_player_statistics_cleaned[[#This Row],[Total Points]]</f>
        <v>23.666666666666668</v>
      </c>
      <c r="AM32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0.9</v>
      </c>
    </row>
    <row r="325" spans="1:39" x14ac:dyDescent="0.2">
      <c r="A325" t="s">
        <v>356</v>
      </c>
      <c r="B325" t="s">
        <v>43</v>
      </c>
      <c r="C325" t="s">
        <v>41</v>
      </c>
      <c r="D325">
        <v>4.3</v>
      </c>
      <c r="E325">
        <v>9</v>
      </c>
      <c r="F325">
        <v>1.1000000000000001</v>
      </c>
      <c r="G325">
        <v>1.1000000000000001</v>
      </c>
      <c r="H325">
        <v>0</v>
      </c>
      <c r="I325">
        <v>0</v>
      </c>
      <c r="J325">
        <v>157</v>
      </c>
      <c r="K325">
        <v>0</v>
      </c>
      <c r="L325">
        <v>3</v>
      </c>
      <c r="M325">
        <v>0</v>
      </c>
      <c r="N325">
        <v>0</v>
      </c>
      <c r="O325">
        <v>12.1</v>
      </c>
      <c r="P325">
        <v>0.2</v>
      </c>
      <c r="Q325">
        <v>0</v>
      </c>
      <c r="R325">
        <v>0</v>
      </c>
      <c r="S325">
        <v>2.1</v>
      </c>
      <c r="T325">
        <v>0.43</v>
      </c>
      <c r="U325">
        <v>0.18</v>
      </c>
      <c r="V325">
        <v>0.61</v>
      </c>
      <c r="W325">
        <v>2.25</v>
      </c>
      <c r="X325">
        <v>1</v>
      </c>
      <c r="Y325" t="s">
        <v>1000</v>
      </c>
      <c r="Z325">
        <v>594</v>
      </c>
      <c r="AA325">
        <v>330</v>
      </c>
      <c r="AB325">
        <v>347</v>
      </c>
      <c r="AC325">
        <v>167</v>
      </c>
      <c r="AD325">
        <v>365</v>
      </c>
      <c r="AE325">
        <v>173</v>
      </c>
      <c r="AF325">
        <v>169</v>
      </c>
      <c r="AG325">
        <v>59</v>
      </c>
      <c r="AH325">
        <f>fpl_player_statistics_cleaned[[#This Row],[Total Points]] / fpl_player_statistics_cleaned[[#This Row],[Now Cost]]</f>
        <v>2.0930232558139537</v>
      </c>
      <c r="AI325">
        <f>fpl_player_statistics_cleaned[[#This Row],[Goals Scored]] + fpl_player_statistics_cleaned[[#This Row],[Assists]]</f>
        <v>0</v>
      </c>
      <c r="AJ325">
        <f>fpl_player_statistics_cleaned[[#This Row],[Total Points]] / fpl_player_statistics_cleaned[[#This Row],[Starts]]</f>
        <v>9</v>
      </c>
      <c r="AK325">
        <f>((fpl_player_statistics_cleaned[[#This Row],[Points Per Game]]) * fpl_player_statistics_cleaned[[#This Row],[Form]]) / fpl_player_statistics_cleaned[[#This Row],[Now Cost]]</f>
        <v>5.1162790697674425E-2</v>
      </c>
      <c r="AL325">
        <f>fpl_player_statistics_cleaned[[#This Row],[Minutes]] / fpl_player_statistics_cleaned[[#This Row],[Total Points]]</f>
        <v>17.444444444444443</v>
      </c>
      <c r="AM32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0.46046511627906983</v>
      </c>
    </row>
    <row r="326" spans="1:39" x14ac:dyDescent="0.2">
      <c r="A326" t="s">
        <v>357</v>
      </c>
      <c r="B326" t="s">
        <v>47</v>
      </c>
      <c r="C326" t="s">
        <v>41</v>
      </c>
      <c r="D326">
        <v>6.1</v>
      </c>
      <c r="E326">
        <v>9</v>
      </c>
      <c r="F326">
        <v>1</v>
      </c>
      <c r="G326">
        <v>0.1</v>
      </c>
      <c r="H326">
        <v>0</v>
      </c>
      <c r="I326">
        <v>0</v>
      </c>
      <c r="J326">
        <v>248</v>
      </c>
      <c r="K326">
        <v>0</v>
      </c>
      <c r="L326">
        <v>2</v>
      </c>
      <c r="M326">
        <v>0</v>
      </c>
      <c r="N326">
        <v>0</v>
      </c>
      <c r="O326">
        <v>16.2</v>
      </c>
      <c r="P326">
        <v>1</v>
      </c>
      <c r="Q326">
        <v>0</v>
      </c>
      <c r="R326">
        <v>0.2</v>
      </c>
      <c r="S326">
        <v>1.5</v>
      </c>
      <c r="T326">
        <v>0.64</v>
      </c>
      <c r="U326">
        <v>0.21</v>
      </c>
      <c r="V326">
        <v>0.85</v>
      </c>
      <c r="W326">
        <v>4.7699999999999996</v>
      </c>
      <c r="X326">
        <v>2</v>
      </c>
      <c r="Y326" t="s">
        <v>1000</v>
      </c>
      <c r="Z326">
        <v>85</v>
      </c>
      <c r="AA326">
        <v>56</v>
      </c>
      <c r="AB326">
        <v>280</v>
      </c>
      <c r="AC326">
        <v>137</v>
      </c>
      <c r="AD326">
        <v>429</v>
      </c>
      <c r="AE326">
        <v>206</v>
      </c>
      <c r="AF326">
        <v>423</v>
      </c>
      <c r="AG326">
        <v>143</v>
      </c>
      <c r="AH326">
        <f>fpl_player_statistics_cleaned[[#This Row],[Total Points]] / fpl_player_statistics_cleaned[[#This Row],[Now Cost]]</f>
        <v>1.4754098360655739</v>
      </c>
      <c r="AI326">
        <f>fpl_player_statistics_cleaned[[#This Row],[Goals Scored]] + fpl_player_statistics_cleaned[[#This Row],[Assists]]</f>
        <v>0</v>
      </c>
      <c r="AJ326">
        <f>fpl_player_statistics_cleaned[[#This Row],[Total Points]] / fpl_player_statistics_cleaned[[#This Row],[Starts]]</f>
        <v>4.5</v>
      </c>
      <c r="AK326">
        <f>((fpl_player_statistics_cleaned[[#This Row],[Points Per Game]]) * fpl_player_statistics_cleaned[[#This Row],[Form]]) / fpl_player_statistics_cleaned[[#This Row],[Now Cost]]</f>
        <v>0.16393442622950821</v>
      </c>
      <c r="AL326">
        <f>fpl_player_statistics_cleaned[[#This Row],[Minutes]] / fpl_player_statistics_cleaned[[#This Row],[Total Points]]</f>
        <v>27.555555555555557</v>
      </c>
      <c r="AM32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1.4754098360655739</v>
      </c>
    </row>
    <row r="327" spans="1:39" x14ac:dyDescent="0.2">
      <c r="A327" t="s">
        <v>358</v>
      </c>
      <c r="B327" t="s">
        <v>63</v>
      </c>
      <c r="C327" t="s">
        <v>41</v>
      </c>
      <c r="D327">
        <v>4.5</v>
      </c>
      <c r="E327">
        <v>9</v>
      </c>
      <c r="F327">
        <v>2.2000000000000002</v>
      </c>
      <c r="G327">
        <v>0.5</v>
      </c>
      <c r="H327">
        <v>1</v>
      </c>
      <c r="I327">
        <v>0</v>
      </c>
      <c r="J327">
        <v>30</v>
      </c>
      <c r="K327">
        <v>0</v>
      </c>
      <c r="L327">
        <v>1</v>
      </c>
      <c r="M327">
        <v>0</v>
      </c>
      <c r="N327">
        <v>0</v>
      </c>
      <c r="O327">
        <v>8.8000000000000007</v>
      </c>
      <c r="P327">
        <v>0.2</v>
      </c>
      <c r="Q327">
        <v>0</v>
      </c>
      <c r="R327">
        <v>0</v>
      </c>
      <c r="S327">
        <v>2</v>
      </c>
      <c r="T327">
        <v>0.37</v>
      </c>
      <c r="U327">
        <v>0.11</v>
      </c>
      <c r="V327">
        <v>0.48</v>
      </c>
      <c r="W327">
        <v>0.77</v>
      </c>
      <c r="X327">
        <v>0</v>
      </c>
      <c r="Y327" t="s">
        <v>1000</v>
      </c>
      <c r="Z327">
        <v>482</v>
      </c>
      <c r="AA327">
        <v>293</v>
      </c>
      <c r="AB327">
        <v>360</v>
      </c>
      <c r="AC327">
        <v>170</v>
      </c>
      <c r="AD327">
        <v>238</v>
      </c>
      <c r="AE327">
        <v>106</v>
      </c>
      <c r="AF327">
        <v>234</v>
      </c>
      <c r="AG327">
        <v>83</v>
      </c>
      <c r="AH327">
        <f>fpl_player_statistics_cleaned[[#This Row],[Total Points]] / fpl_player_statistics_cleaned[[#This Row],[Now Cost]]</f>
        <v>2</v>
      </c>
      <c r="AI327">
        <f>fpl_player_statistics_cleaned[[#This Row],[Goals Scored]] + fpl_player_statistics_cleaned[[#This Row],[Assists]]</f>
        <v>1</v>
      </c>
      <c r="AJ327" t="e">
        <f>fpl_player_statistics_cleaned[[#This Row],[Total Points]] / fpl_player_statistics_cleaned[[#This Row],[Starts]]</f>
        <v>#DIV/0!</v>
      </c>
      <c r="AK327">
        <f>((fpl_player_statistics_cleaned[[#This Row],[Points Per Game]]) * fpl_player_statistics_cleaned[[#This Row],[Form]]) / fpl_player_statistics_cleaned[[#This Row],[Now Cost]]</f>
        <v>9.7777777777777797E-2</v>
      </c>
      <c r="AL327">
        <f>fpl_player_statistics_cleaned[[#This Row],[Minutes]] / fpl_player_statistics_cleaned[[#This Row],[Total Points]]</f>
        <v>3.3333333333333335</v>
      </c>
      <c r="AM32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0.88000000000000012</v>
      </c>
    </row>
    <row r="328" spans="1:39" x14ac:dyDescent="0.2">
      <c r="A328" t="s">
        <v>359</v>
      </c>
      <c r="B328" t="s">
        <v>153</v>
      </c>
      <c r="C328" t="s">
        <v>35</v>
      </c>
      <c r="D328">
        <v>5.5</v>
      </c>
      <c r="E328">
        <v>9</v>
      </c>
      <c r="F328">
        <v>1.3</v>
      </c>
      <c r="G328">
        <v>0.1</v>
      </c>
      <c r="H328">
        <v>0</v>
      </c>
      <c r="I328">
        <v>0</v>
      </c>
      <c r="J328">
        <v>208</v>
      </c>
      <c r="K328">
        <v>0</v>
      </c>
      <c r="L328">
        <v>8</v>
      </c>
      <c r="M328">
        <v>0</v>
      </c>
      <c r="N328">
        <v>0</v>
      </c>
      <c r="O328">
        <v>9.8000000000000007</v>
      </c>
      <c r="P328">
        <v>0.8</v>
      </c>
      <c r="Q328">
        <v>0</v>
      </c>
      <c r="R328">
        <v>0.1</v>
      </c>
      <c r="S328">
        <v>1.6</v>
      </c>
      <c r="T328">
        <v>0.41</v>
      </c>
      <c r="U328">
        <v>0.03</v>
      </c>
      <c r="V328">
        <v>0.44</v>
      </c>
      <c r="W328">
        <v>3</v>
      </c>
      <c r="X328">
        <v>2</v>
      </c>
      <c r="Y328" t="s">
        <v>1000</v>
      </c>
      <c r="Z328">
        <v>150</v>
      </c>
      <c r="AA328">
        <v>37</v>
      </c>
      <c r="AB328">
        <v>301</v>
      </c>
      <c r="AC328">
        <v>33</v>
      </c>
      <c r="AD328">
        <v>356</v>
      </c>
      <c r="AE328">
        <v>37</v>
      </c>
      <c r="AF328">
        <v>558</v>
      </c>
      <c r="AG328">
        <v>74</v>
      </c>
      <c r="AH328">
        <f>fpl_player_statistics_cleaned[[#This Row],[Total Points]] / fpl_player_statistics_cleaned[[#This Row],[Now Cost]]</f>
        <v>1.6363636363636365</v>
      </c>
      <c r="AI328">
        <f>fpl_player_statistics_cleaned[[#This Row],[Goals Scored]] + fpl_player_statistics_cleaned[[#This Row],[Assists]]</f>
        <v>0</v>
      </c>
      <c r="AJ328">
        <f>fpl_player_statistics_cleaned[[#This Row],[Total Points]] / fpl_player_statistics_cleaned[[#This Row],[Starts]]</f>
        <v>4.5</v>
      </c>
      <c r="AK328">
        <f>((fpl_player_statistics_cleaned[[#This Row],[Points Per Game]]) * fpl_player_statistics_cleaned[[#This Row],[Form]]) / fpl_player_statistics_cleaned[[#This Row],[Now Cost]]</f>
        <v>0.18909090909090909</v>
      </c>
      <c r="AL328">
        <f>fpl_player_statistics_cleaned[[#This Row],[Minutes]] / fpl_player_statistics_cleaned[[#This Row],[Total Points]]</f>
        <v>23.111111111111111</v>
      </c>
      <c r="AM32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1.7018181818181819</v>
      </c>
    </row>
    <row r="329" spans="1:39" x14ac:dyDescent="0.2">
      <c r="A329" t="s">
        <v>360</v>
      </c>
      <c r="B329" t="s">
        <v>97</v>
      </c>
      <c r="C329" t="s">
        <v>55</v>
      </c>
      <c r="D329">
        <v>4.4000000000000004</v>
      </c>
      <c r="E329">
        <v>9</v>
      </c>
      <c r="F329">
        <v>2.2000000000000002</v>
      </c>
      <c r="G329">
        <v>0.2</v>
      </c>
      <c r="H329">
        <v>0</v>
      </c>
      <c r="I329">
        <v>0</v>
      </c>
      <c r="J329">
        <v>360</v>
      </c>
      <c r="K329">
        <v>1</v>
      </c>
      <c r="L329">
        <v>11</v>
      </c>
      <c r="M329">
        <v>9</v>
      </c>
      <c r="N329">
        <v>0</v>
      </c>
      <c r="O329">
        <v>8.5</v>
      </c>
      <c r="P329">
        <v>0</v>
      </c>
      <c r="Q329">
        <v>0</v>
      </c>
      <c r="R329">
        <v>0</v>
      </c>
      <c r="S329">
        <v>2</v>
      </c>
      <c r="T329">
        <v>0</v>
      </c>
      <c r="U329">
        <v>0.01</v>
      </c>
      <c r="V329">
        <v>0.01</v>
      </c>
      <c r="W329">
        <v>5.44</v>
      </c>
      <c r="X329">
        <v>4</v>
      </c>
      <c r="Y329" t="s">
        <v>1000</v>
      </c>
      <c r="Z329">
        <v>523</v>
      </c>
      <c r="AA329">
        <v>27</v>
      </c>
      <c r="AB329">
        <v>544</v>
      </c>
      <c r="AC329">
        <v>75</v>
      </c>
      <c r="AD329">
        <v>236</v>
      </c>
      <c r="AE329">
        <v>21</v>
      </c>
      <c r="AF329">
        <v>343</v>
      </c>
      <c r="AG329">
        <v>50</v>
      </c>
      <c r="AH329">
        <f>fpl_player_statistics_cleaned[[#This Row],[Total Points]] / fpl_player_statistics_cleaned[[#This Row],[Now Cost]]</f>
        <v>2.0454545454545454</v>
      </c>
      <c r="AI329">
        <f>fpl_player_statistics_cleaned[[#This Row],[Goals Scored]] + fpl_player_statistics_cleaned[[#This Row],[Assists]]</f>
        <v>0</v>
      </c>
      <c r="AJ329">
        <f>fpl_player_statistics_cleaned[[#This Row],[Total Points]] / fpl_player_statistics_cleaned[[#This Row],[Starts]]</f>
        <v>2.25</v>
      </c>
      <c r="AK329">
        <f>((fpl_player_statistics_cleaned[[#This Row],[Points Per Game]]) * fpl_player_statistics_cleaned[[#This Row],[Form]]) / fpl_player_statistics_cleaned[[#This Row],[Now Cost]]</f>
        <v>0</v>
      </c>
      <c r="AL329">
        <f>fpl_player_statistics_cleaned[[#This Row],[Minutes]] / fpl_player_statistics_cleaned[[#This Row],[Total Points]]</f>
        <v>40</v>
      </c>
      <c r="AM32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330" spans="1:39" x14ac:dyDescent="0.2">
      <c r="A330" t="s">
        <v>361</v>
      </c>
      <c r="B330" t="s">
        <v>40</v>
      </c>
      <c r="C330" t="s">
        <v>41</v>
      </c>
      <c r="D330">
        <v>5.4</v>
      </c>
      <c r="E330">
        <v>8</v>
      </c>
      <c r="F330">
        <v>1</v>
      </c>
      <c r="G330">
        <v>0</v>
      </c>
      <c r="H330">
        <v>0</v>
      </c>
      <c r="I330">
        <v>0</v>
      </c>
      <c r="J330">
        <v>210</v>
      </c>
      <c r="K330">
        <v>0</v>
      </c>
      <c r="L330">
        <v>5</v>
      </c>
      <c r="M330">
        <v>0</v>
      </c>
      <c r="N330">
        <v>0</v>
      </c>
      <c r="O330">
        <v>13.8</v>
      </c>
      <c r="P330">
        <v>0.8</v>
      </c>
      <c r="Q330">
        <v>0</v>
      </c>
      <c r="R330">
        <v>0.1</v>
      </c>
      <c r="S330">
        <v>1.5</v>
      </c>
      <c r="T330">
        <v>0.1</v>
      </c>
      <c r="U330">
        <v>0.1</v>
      </c>
      <c r="V330">
        <v>0.2</v>
      </c>
      <c r="W330">
        <v>4.6500000000000004</v>
      </c>
      <c r="X330">
        <v>1</v>
      </c>
      <c r="Y330" t="s">
        <v>1000</v>
      </c>
      <c r="Z330">
        <v>179</v>
      </c>
      <c r="AA330">
        <v>111</v>
      </c>
      <c r="AB330">
        <v>298</v>
      </c>
      <c r="AC330">
        <v>147</v>
      </c>
      <c r="AD330">
        <v>421</v>
      </c>
      <c r="AE330">
        <v>201</v>
      </c>
      <c r="AF330">
        <v>613</v>
      </c>
      <c r="AG330">
        <v>244</v>
      </c>
      <c r="AH330">
        <f>fpl_player_statistics_cleaned[[#This Row],[Total Points]] / fpl_player_statistics_cleaned[[#This Row],[Now Cost]]</f>
        <v>1.4814814814814814</v>
      </c>
      <c r="AI330">
        <f>fpl_player_statistics_cleaned[[#This Row],[Goals Scored]] + fpl_player_statistics_cleaned[[#This Row],[Assists]]</f>
        <v>0</v>
      </c>
      <c r="AJ330">
        <f>fpl_player_statistics_cleaned[[#This Row],[Total Points]] / fpl_player_statistics_cleaned[[#This Row],[Starts]]</f>
        <v>8</v>
      </c>
      <c r="AK330">
        <f>((fpl_player_statistics_cleaned[[#This Row],[Points Per Game]]) * fpl_player_statistics_cleaned[[#This Row],[Form]]) / fpl_player_statistics_cleaned[[#This Row],[Now Cost]]</f>
        <v>0.14814814814814814</v>
      </c>
      <c r="AL330">
        <f>fpl_player_statistics_cleaned[[#This Row],[Minutes]] / fpl_player_statistics_cleaned[[#This Row],[Total Points]]</f>
        <v>26.25</v>
      </c>
      <c r="AM33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1.1851851851851851</v>
      </c>
    </row>
    <row r="331" spans="1:39" x14ac:dyDescent="0.2">
      <c r="A331" t="s">
        <v>362</v>
      </c>
      <c r="B331" t="s">
        <v>97</v>
      </c>
      <c r="C331" t="s">
        <v>41</v>
      </c>
      <c r="D331">
        <v>4.4000000000000004</v>
      </c>
      <c r="E331">
        <v>8</v>
      </c>
      <c r="F331">
        <v>1.3</v>
      </c>
      <c r="G331">
        <v>0.3</v>
      </c>
      <c r="H331">
        <v>0</v>
      </c>
      <c r="I331">
        <v>0</v>
      </c>
      <c r="J331">
        <v>149</v>
      </c>
      <c r="K331">
        <v>0</v>
      </c>
      <c r="L331">
        <v>4</v>
      </c>
      <c r="M331">
        <v>0</v>
      </c>
      <c r="N331">
        <v>0</v>
      </c>
      <c r="O331">
        <v>7</v>
      </c>
      <c r="P331">
        <v>1</v>
      </c>
      <c r="Q331">
        <v>0</v>
      </c>
      <c r="R331">
        <v>0.2</v>
      </c>
      <c r="S331">
        <v>1.8</v>
      </c>
      <c r="T331">
        <v>0</v>
      </c>
      <c r="U331">
        <v>0.09</v>
      </c>
      <c r="V331">
        <v>0.09</v>
      </c>
      <c r="W331">
        <v>3.65</v>
      </c>
      <c r="X331">
        <v>2</v>
      </c>
      <c r="Y331" t="s">
        <v>1000</v>
      </c>
      <c r="Z331">
        <v>507</v>
      </c>
      <c r="AA331">
        <v>298</v>
      </c>
      <c r="AB331">
        <v>263</v>
      </c>
      <c r="AC331">
        <v>127</v>
      </c>
      <c r="AD331">
        <v>351</v>
      </c>
      <c r="AE331">
        <v>166</v>
      </c>
      <c r="AF331">
        <v>292</v>
      </c>
      <c r="AG331">
        <v>102</v>
      </c>
      <c r="AH331">
        <f>fpl_player_statistics_cleaned[[#This Row],[Total Points]] / fpl_player_statistics_cleaned[[#This Row],[Now Cost]]</f>
        <v>1.8181818181818181</v>
      </c>
      <c r="AI331">
        <f>fpl_player_statistics_cleaned[[#This Row],[Goals Scored]] + fpl_player_statistics_cleaned[[#This Row],[Assists]]</f>
        <v>0</v>
      </c>
      <c r="AJ331">
        <f>fpl_player_statistics_cleaned[[#This Row],[Total Points]] / fpl_player_statistics_cleaned[[#This Row],[Starts]]</f>
        <v>4</v>
      </c>
      <c r="AK331">
        <f>((fpl_player_statistics_cleaned[[#This Row],[Points Per Game]]) * fpl_player_statistics_cleaned[[#This Row],[Form]]) / fpl_player_statistics_cleaned[[#This Row],[Now Cost]]</f>
        <v>0.29545454545454541</v>
      </c>
      <c r="AL331">
        <f>fpl_player_statistics_cleaned[[#This Row],[Minutes]] / fpl_player_statistics_cleaned[[#This Row],[Total Points]]</f>
        <v>18.625</v>
      </c>
      <c r="AM33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2.3636363636363638</v>
      </c>
    </row>
    <row r="332" spans="1:39" x14ac:dyDescent="0.2">
      <c r="A332" t="s">
        <v>363</v>
      </c>
      <c r="B332" t="s">
        <v>46</v>
      </c>
      <c r="C332" t="s">
        <v>38</v>
      </c>
      <c r="D332">
        <v>4</v>
      </c>
      <c r="E332">
        <v>8</v>
      </c>
      <c r="F332">
        <v>1.3</v>
      </c>
      <c r="G332">
        <v>0.3</v>
      </c>
      <c r="H332">
        <v>0</v>
      </c>
      <c r="I332">
        <v>0</v>
      </c>
      <c r="J332">
        <v>253</v>
      </c>
      <c r="K332">
        <v>0</v>
      </c>
      <c r="L332">
        <v>4</v>
      </c>
      <c r="M332">
        <v>0</v>
      </c>
      <c r="N332">
        <v>0</v>
      </c>
      <c r="O332">
        <v>6</v>
      </c>
      <c r="P332">
        <v>0.5</v>
      </c>
      <c r="Q332">
        <v>0</v>
      </c>
      <c r="R332">
        <v>0.1</v>
      </c>
      <c r="S332">
        <v>2</v>
      </c>
      <c r="T332">
        <v>0.14000000000000001</v>
      </c>
      <c r="U332">
        <v>0.12</v>
      </c>
      <c r="V332">
        <v>0.26</v>
      </c>
      <c r="W332">
        <v>2.63</v>
      </c>
      <c r="X332">
        <v>3</v>
      </c>
      <c r="Y332" t="s">
        <v>1000</v>
      </c>
      <c r="Z332">
        <v>655</v>
      </c>
      <c r="AA332">
        <v>177</v>
      </c>
      <c r="AB332">
        <v>306</v>
      </c>
      <c r="AC332">
        <v>100</v>
      </c>
      <c r="AD332">
        <v>349</v>
      </c>
      <c r="AE332">
        <v>122</v>
      </c>
      <c r="AF332">
        <v>299</v>
      </c>
      <c r="AG332">
        <v>107</v>
      </c>
      <c r="AH332">
        <f>fpl_player_statistics_cleaned[[#This Row],[Total Points]] / fpl_player_statistics_cleaned[[#This Row],[Now Cost]]</f>
        <v>2</v>
      </c>
      <c r="AI332">
        <f>fpl_player_statistics_cleaned[[#This Row],[Goals Scored]] + fpl_player_statistics_cleaned[[#This Row],[Assists]]</f>
        <v>0</v>
      </c>
      <c r="AJ332">
        <f>fpl_player_statistics_cleaned[[#This Row],[Total Points]] / fpl_player_statistics_cleaned[[#This Row],[Starts]]</f>
        <v>2.6666666666666665</v>
      </c>
      <c r="AK332">
        <f>((fpl_player_statistics_cleaned[[#This Row],[Points Per Game]]) * fpl_player_statistics_cleaned[[#This Row],[Form]]) / fpl_player_statistics_cleaned[[#This Row],[Now Cost]]</f>
        <v>0.16250000000000001</v>
      </c>
      <c r="AL332">
        <f>fpl_player_statistics_cleaned[[#This Row],[Minutes]] / fpl_player_statistics_cleaned[[#This Row],[Total Points]]</f>
        <v>31.625</v>
      </c>
      <c r="AM33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1.3</v>
      </c>
    </row>
    <row r="333" spans="1:39" x14ac:dyDescent="0.2">
      <c r="A333" t="s">
        <v>364</v>
      </c>
      <c r="B333" t="s">
        <v>54</v>
      </c>
      <c r="C333" t="s">
        <v>41</v>
      </c>
      <c r="D333">
        <v>4.8</v>
      </c>
      <c r="E333">
        <v>8</v>
      </c>
      <c r="F333">
        <v>1.3</v>
      </c>
      <c r="G333">
        <v>0</v>
      </c>
      <c r="H333">
        <v>0</v>
      </c>
      <c r="I333">
        <v>0</v>
      </c>
      <c r="J333">
        <v>186</v>
      </c>
      <c r="K333">
        <v>1</v>
      </c>
      <c r="L333">
        <v>0</v>
      </c>
      <c r="M333">
        <v>0</v>
      </c>
      <c r="N333">
        <v>0</v>
      </c>
      <c r="O333">
        <v>4.3</v>
      </c>
      <c r="P333">
        <v>1</v>
      </c>
      <c r="Q333">
        <v>0</v>
      </c>
      <c r="R333">
        <v>0.2</v>
      </c>
      <c r="S333">
        <v>1.7</v>
      </c>
      <c r="T333">
        <v>0.12</v>
      </c>
      <c r="U333">
        <v>0.06</v>
      </c>
      <c r="V333">
        <v>0.18</v>
      </c>
      <c r="W333">
        <v>1.29</v>
      </c>
      <c r="X333">
        <v>3</v>
      </c>
      <c r="Y333" t="s">
        <v>1000</v>
      </c>
      <c r="Z333">
        <v>374</v>
      </c>
      <c r="AA333">
        <v>235</v>
      </c>
      <c r="AB333">
        <v>268</v>
      </c>
      <c r="AC333">
        <v>128</v>
      </c>
      <c r="AD333">
        <v>353</v>
      </c>
      <c r="AE333">
        <v>167</v>
      </c>
      <c r="AF333">
        <v>571</v>
      </c>
      <c r="AG333">
        <v>213</v>
      </c>
      <c r="AH333">
        <f>fpl_player_statistics_cleaned[[#This Row],[Total Points]] / fpl_player_statistics_cleaned[[#This Row],[Now Cost]]</f>
        <v>1.6666666666666667</v>
      </c>
      <c r="AI333">
        <f>fpl_player_statistics_cleaned[[#This Row],[Goals Scored]] + fpl_player_statistics_cleaned[[#This Row],[Assists]]</f>
        <v>0</v>
      </c>
      <c r="AJ333">
        <f>fpl_player_statistics_cleaned[[#This Row],[Total Points]] / fpl_player_statistics_cleaned[[#This Row],[Starts]]</f>
        <v>2.6666666666666665</v>
      </c>
      <c r="AK333">
        <f>((fpl_player_statistics_cleaned[[#This Row],[Points Per Game]]) * fpl_player_statistics_cleaned[[#This Row],[Form]]) / fpl_player_statistics_cleaned[[#This Row],[Now Cost]]</f>
        <v>0.27083333333333337</v>
      </c>
      <c r="AL333">
        <f>fpl_player_statistics_cleaned[[#This Row],[Minutes]] / fpl_player_statistics_cleaned[[#This Row],[Total Points]]</f>
        <v>23.25</v>
      </c>
      <c r="AM33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2.166666666666667</v>
      </c>
    </row>
    <row r="334" spans="1:39" x14ac:dyDescent="0.2">
      <c r="A334" t="s">
        <v>948</v>
      </c>
      <c r="B334" t="s">
        <v>153</v>
      </c>
      <c r="C334" t="s">
        <v>38</v>
      </c>
      <c r="D334">
        <v>4.4000000000000004</v>
      </c>
      <c r="E334">
        <v>8</v>
      </c>
      <c r="F334">
        <v>1.6</v>
      </c>
      <c r="G334">
        <v>0.1</v>
      </c>
      <c r="H334">
        <v>0</v>
      </c>
      <c r="I334">
        <v>1</v>
      </c>
      <c r="J334">
        <v>149</v>
      </c>
      <c r="K334">
        <v>0</v>
      </c>
      <c r="L334">
        <v>6</v>
      </c>
      <c r="M334">
        <v>0</v>
      </c>
      <c r="N334">
        <v>0</v>
      </c>
      <c r="O334">
        <v>6.3</v>
      </c>
      <c r="P334">
        <v>0.2</v>
      </c>
      <c r="Q334">
        <v>0</v>
      </c>
      <c r="R334">
        <v>0</v>
      </c>
      <c r="S334">
        <v>1.8</v>
      </c>
      <c r="T334">
        <v>0</v>
      </c>
      <c r="U334">
        <v>0.15</v>
      </c>
      <c r="V334">
        <v>0.15</v>
      </c>
      <c r="W334">
        <v>3.62</v>
      </c>
      <c r="X334">
        <v>2</v>
      </c>
      <c r="Y334" t="s">
        <v>1000</v>
      </c>
      <c r="Z334">
        <v>533</v>
      </c>
      <c r="AA334">
        <v>129</v>
      </c>
      <c r="AB334">
        <v>355</v>
      </c>
      <c r="AC334">
        <v>125</v>
      </c>
      <c r="AD334">
        <v>319</v>
      </c>
      <c r="AE334">
        <v>115</v>
      </c>
      <c r="AF334">
        <v>536</v>
      </c>
      <c r="AG334">
        <v>192</v>
      </c>
      <c r="AH334">
        <f>fpl_player_statistics_cleaned[[#This Row],[Total Points]] / fpl_player_statistics_cleaned[[#This Row],[Now Cost]]</f>
        <v>1.8181818181818181</v>
      </c>
      <c r="AI334">
        <f>fpl_player_statistics_cleaned[[#This Row],[Goals Scored]] + fpl_player_statistics_cleaned[[#This Row],[Assists]]</f>
        <v>1</v>
      </c>
      <c r="AJ334">
        <f>fpl_player_statistics_cleaned[[#This Row],[Total Points]] / fpl_player_statistics_cleaned[[#This Row],[Starts]]</f>
        <v>4</v>
      </c>
      <c r="AK334">
        <f>((fpl_player_statistics_cleaned[[#This Row],[Points Per Game]]) * fpl_player_statistics_cleaned[[#This Row],[Form]]) / fpl_player_statistics_cleaned[[#This Row],[Now Cost]]</f>
        <v>7.2727272727272738E-2</v>
      </c>
      <c r="AL334">
        <f>fpl_player_statistics_cleaned[[#This Row],[Minutes]] / fpl_player_statistics_cleaned[[#This Row],[Total Points]]</f>
        <v>18.625</v>
      </c>
      <c r="AM33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0.5818181818181819</v>
      </c>
    </row>
    <row r="335" spans="1:39" x14ac:dyDescent="0.2">
      <c r="A335" t="s">
        <v>949</v>
      </c>
      <c r="B335" t="s">
        <v>40</v>
      </c>
      <c r="C335" t="s">
        <v>38</v>
      </c>
      <c r="D335">
        <v>4.5</v>
      </c>
      <c r="E335">
        <v>8</v>
      </c>
      <c r="F335">
        <v>1</v>
      </c>
      <c r="G335">
        <v>0</v>
      </c>
      <c r="H335">
        <v>0</v>
      </c>
      <c r="I335">
        <v>0</v>
      </c>
      <c r="J335">
        <v>409</v>
      </c>
      <c r="K335">
        <v>1</v>
      </c>
      <c r="L335">
        <v>10</v>
      </c>
      <c r="M335">
        <v>0</v>
      </c>
      <c r="N335">
        <v>0</v>
      </c>
      <c r="O335">
        <v>12.1</v>
      </c>
      <c r="P335">
        <v>1.8</v>
      </c>
      <c r="Q335">
        <v>0</v>
      </c>
      <c r="R335">
        <v>0.4</v>
      </c>
      <c r="S335">
        <v>1.8</v>
      </c>
      <c r="T335">
        <v>0.08</v>
      </c>
      <c r="U335">
        <v>0.12</v>
      </c>
      <c r="V335">
        <v>0.2</v>
      </c>
      <c r="W335">
        <v>8.0399999999999991</v>
      </c>
      <c r="X335">
        <v>5</v>
      </c>
      <c r="Y335" t="s">
        <v>1000</v>
      </c>
      <c r="Z335">
        <v>453</v>
      </c>
      <c r="AA335">
        <v>96</v>
      </c>
      <c r="AB335">
        <v>203</v>
      </c>
      <c r="AC335">
        <v>66</v>
      </c>
      <c r="AD335">
        <v>384</v>
      </c>
      <c r="AE335">
        <v>139</v>
      </c>
      <c r="AF335">
        <v>634</v>
      </c>
      <c r="AG335">
        <v>219</v>
      </c>
      <c r="AH335">
        <f>fpl_player_statistics_cleaned[[#This Row],[Total Points]] / fpl_player_statistics_cleaned[[#This Row],[Now Cost]]</f>
        <v>1.7777777777777777</v>
      </c>
      <c r="AI335">
        <f>fpl_player_statistics_cleaned[[#This Row],[Goals Scored]] + fpl_player_statistics_cleaned[[#This Row],[Assists]]</f>
        <v>0</v>
      </c>
      <c r="AJ335">
        <f>fpl_player_statistics_cleaned[[#This Row],[Total Points]] / fpl_player_statistics_cleaned[[#This Row],[Starts]]</f>
        <v>1.6</v>
      </c>
      <c r="AK335">
        <f>((fpl_player_statistics_cleaned[[#This Row],[Points Per Game]]) * fpl_player_statistics_cleaned[[#This Row],[Form]]) / fpl_player_statistics_cleaned[[#This Row],[Now Cost]]</f>
        <v>0.4</v>
      </c>
      <c r="AL335">
        <f>fpl_player_statistics_cleaned[[#This Row],[Minutes]] / fpl_player_statistics_cleaned[[#This Row],[Total Points]]</f>
        <v>51.125</v>
      </c>
      <c r="AM33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3.2</v>
      </c>
    </row>
    <row r="336" spans="1:39" x14ac:dyDescent="0.2">
      <c r="A336" t="s">
        <v>365</v>
      </c>
      <c r="B336" t="s">
        <v>92</v>
      </c>
      <c r="C336" t="s">
        <v>41</v>
      </c>
      <c r="D336">
        <v>4.9000000000000004</v>
      </c>
      <c r="E336">
        <v>8</v>
      </c>
      <c r="F336">
        <v>1.1000000000000001</v>
      </c>
      <c r="G336">
        <v>0</v>
      </c>
      <c r="H336">
        <v>0</v>
      </c>
      <c r="I336">
        <v>0</v>
      </c>
      <c r="J336">
        <v>196</v>
      </c>
      <c r="K336">
        <v>0</v>
      </c>
      <c r="L336">
        <v>5</v>
      </c>
      <c r="M336">
        <v>0</v>
      </c>
      <c r="N336">
        <v>0</v>
      </c>
      <c r="O336">
        <v>7.3</v>
      </c>
      <c r="P336">
        <v>1</v>
      </c>
      <c r="Q336">
        <v>0</v>
      </c>
      <c r="R336">
        <v>0.2</v>
      </c>
      <c r="S336">
        <v>1.6</v>
      </c>
      <c r="T336">
        <v>0.44</v>
      </c>
      <c r="U336">
        <v>0.09</v>
      </c>
      <c r="V336">
        <v>0.53</v>
      </c>
      <c r="W336">
        <v>3.27</v>
      </c>
      <c r="X336">
        <v>1</v>
      </c>
      <c r="Y336" t="s">
        <v>1000</v>
      </c>
      <c r="Z336">
        <v>289</v>
      </c>
      <c r="AA336">
        <v>181</v>
      </c>
      <c r="AB336">
        <v>269</v>
      </c>
      <c r="AC336">
        <v>129</v>
      </c>
      <c r="AD336">
        <v>366</v>
      </c>
      <c r="AE336">
        <v>174</v>
      </c>
      <c r="AF336">
        <v>631</v>
      </c>
      <c r="AG336">
        <v>257</v>
      </c>
      <c r="AH336">
        <f>fpl_player_statistics_cleaned[[#This Row],[Total Points]] / fpl_player_statistics_cleaned[[#This Row],[Now Cost]]</f>
        <v>1.6326530612244896</v>
      </c>
      <c r="AI336">
        <f>fpl_player_statistics_cleaned[[#This Row],[Goals Scored]] + fpl_player_statistics_cleaned[[#This Row],[Assists]]</f>
        <v>0</v>
      </c>
      <c r="AJ336">
        <f>fpl_player_statistics_cleaned[[#This Row],[Total Points]] / fpl_player_statistics_cleaned[[#This Row],[Starts]]</f>
        <v>8</v>
      </c>
      <c r="AK336">
        <f>((fpl_player_statistics_cleaned[[#This Row],[Points Per Game]]) * fpl_player_statistics_cleaned[[#This Row],[Form]]) / fpl_player_statistics_cleaned[[#This Row],[Now Cost]]</f>
        <v>0.22448979591836735</v>
      </c>
      <c r="AL336">
        <f>fpl_player_statistics_cleaned[[#This Row],[Minutes]] / fpl_player_statistics_cleaned[[#This Row],[Total Points]]</f>
        <v>24.5</v>
      </c>
      <c r="AM33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1.7959183673469388</v>
      </c>
    </row>
    <row r="337" spans="1:39" hidden="1" x14ac:dyDescent="0.2">
      <c r="A337" t="s">
        <v>366</v>
      </c>
      <c r="B337" t="s">
        <v>43</v>
      </c>
      <c r="C337" t="s">
        <v>35</v>
      </c>
      <c r="D337">
        <v>5.4</v>
      </c>
      <c r="E337">
        <v>8</v>
      </c>
      <c r="F337">
        <v>1.6</v>
      </c>
      <c r="G337">
        <v>0.4</v>
      </c>
      <c r="H337">
        <v>1</v>
      </c>
      <c r="I337">
        <v>0</v>
      </c>
      <c r="J337">
        <v>107</v>
      </c>
      <c r="K337">
        <v>0</v>
      </c>
      <c r="L337">
        <v>4</v>
      </c>
      <c r="M337">
        <v>0</v>
      </c>
      <c r="N337">
        <v>0</v>
      </c>
      <c r="O337">
        <v>14.8</v>
      </c>
      <c r="P337">
        <v>0.5</v>
      </c>
      <c r="Q337">
        <v>0</v>
      </c>
      <c r="R337">
        <v>0.1</v>
      </c>
      <c r="S337">
        <v>1.5</v>
      </c>
      <c r="T337">
        <v>0.84</v>
      </c>
      <c r="U337">
        <v>0.43</v>
      </c>
      <c r="V337">
        <v>1.27</v>
      </c>
      <c r="W337">
        <v>3.28</v>
      </c>
      <c r="X337">
        <v>0</v>
      </c>
      <c r="Y337" t="s">
        <v>367</v>
      </c>
      <c r="Z337">
        <v>165</v>
      </c>
      <c r="AA337">
        <v>41</v>
      </c>
      <c r="AB337">
        <v>331</v>
      </c>
      <c r="AC337">
        <v>37</v>
      </c>
      <c r="AD337">
        <v>324</v>
      </c>
      <c r="AE337">
        <v>32</v>
      </c>
      <c r="AF337">
        <v>285</v>
      </c>
      <c r="AG337">
        <v>45</v>
      </c>
      <c r="AI337">
        <v>0.68965517241379315</v>
      </c>
    </row>
    <row r="338" spans="1:39" x14ac:dyDescent="0.2">
      <c r="A338" t="s">
        <v>368</v>
      </c>
      <c r="B338" t="s">
        <v>81</v>
      </c>
      <c r="C338" t="s">
        <v>35</v>
      </c>
      <c r="D338">
        <v>4.8</v>
      </c>
      <c r="E338">
        <v>8</v>
      </c>
      <c r="F338">
        <v>2</v>
      </c>
      <c r="G338">
        <v>0.3</v>
      </c>
      <c r="H338">
        <v>1</v>
      </c>
      <c r="I338">
        <v>0</v>
      </c>
      <c r="J338">
        <v>29</v>
      </c>
      <c r="K338">
        <v>0</v>
      </c>
      <c r="L338">
        <v>1</v>
      </c>
      <c r="M338">
        <v>0</v>
      </c>
      <c r="N338">
        <v>0</v>
      </c>
      <c r="O338">
        <v>8.1999999999999993</v>
      </c>
      <c r="P338">
        <v>2</v>
      </c>
      <c r="Q338">
        <v>0</v>
      </c>
      <c r="R338">
        <v>0.4</v>
      </c>
      <c r="S338">
        <v>1.7</v>
      </c>
      <c r="T338">
        <v>0.27</v>
      </c>
      <c r="U338">
        <v>0.01</v>
      </c>
      <c r="V338">
        <v>0.28000000000000003</v>
      </c>
      <c r="W338">
        <v>0.79</v>
      </c>
      <c r="X338">
        <v>0</v>
      </c>
      <c r="Y338" t="s">
        <v>1000</v>
      </c>
      <c r="Z338">
        <v>376</v>
      </c>
      <c r="AA338">
        <v>59</v>
      </c>
      <c r="AB338">
        <v>186</v>
      </c>
      <c r="AC338">
        <v>18</v>
      </c>
      <c r="AD338">
        <v>276</v>
      </c>
      <c r="AE338">
        <v>28</v>
      </c>
      <c r="AF338">
        <v>296</v>
      </c>
      <c r="AG338">
        <v>48</v>
      </c>
      <c r="AH338">
        <f>fpl_player_statistics_cleaned[[#This Row],[Total Points]] / fpl_player_statistics_cleaned[[#This Row],[Now Cost]]</f>
        <v>1.6666666666666667</v>
      </c>
      <c r="AI338">
        <f>fpl_player_statistics_cleaned[[#This Row],[Goals Scored]] + fpl_player_statistics_cleaned[[#This Row],[Assists]]</f>
        <v>1</v>
      </c>
      <c r="AJ338" t="e">
        <f>fpl_player_statistics_cleaned[[#This Row],[Total Points]] / fpl_player_statistics_cleaned[[#This Row],[Starts]]</f>
        <v>#DIV/0!</v>
      </c>
      <c r="AK338">
        <f>((fpl_player_statistics_cleaned[[#This Row],[Points Per Game]]) * fpl_player_statistics_cleaned[[#This Row],[Form]]) / fpl_player_statistics_cleaned[[#This Row],[Now Cost]]</f>
        <v>0.83333333333333337</v>
      </c>
      <c r="AL338">
        <f>fpl_player_statistics_cleaned[[#This Row],[Minutes]] / fpl_player_statistics_cleaned[[#This Row],[Total Points]]</f>
        <v>3.625</v>
      </c>
      <c r="AM33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6.666666666666667</v>
      </c>
    </row>
    <row r="339" spans="1:39" x14ac:dyDescent="0.2">
      <c r="A339" t="s">
        <v>369</v>
      </c>
      <c r="B339" t="s">
        <v>57</v>
      </c>
      <c r="C339" t="s">
        <v>41</v>
      </c>
      <c r="D339">
        <v>5.2</v>
      </c>
      <c r="E339">
        <v>8</v>
      </c>
      <c r="F339">
        <v>1</v>
      </c>
      <c r="G339">
        <v>0.1</v>
      </c>
      <c r="H339">
        <v>0</v>
      </c>
      <c r="I339">
        <v>0</v>
      </c>
      <c r="J339">
        <v>242</v>
      </c>
      <c r="K339">
        <v>0</v>
      </c>
      <c r="L339">
        <v>4</v>
      </c>
      <c r="M339">
        <v>0</v>
      </c>
      <c r="N339">
        <v>0</v>
      </c>
      <c r="O339">
        <v>9.8000000000000007</v>
      </c>
      <c r="P339">
        <v>0.8</v>
      </c>
      <c r="Q339">
        <v>0</v>
      </c>
      <c r="R339">
        <v>0.2</v>
      </c>
      <c r="S339">
        <v>1.5</v>
      </c>
      <c r="T339">
        <v>0.16</v>
      </c>
      <c r="U339">
        <v>7.0000000000000007E-2</v>
      </c>
      <c r="V339">
        <v>0.23</v>
      </c>
      <c r="W339">
        <v>5.68</v>
      </c>
      <c r="X339">
        <v>2</v>
      </c>
      <c r="Y339" t="s">
        <v>1000</v>
      </c>
      <c r="Z339">
        <v>227</v>
      </c>
      <c r="AA339">
        <v>140</v>
      </c>
      <c r="AB339">
        <v>294</v>
      </c>
      <c r="AC339">
        <v>143</v>
      </c>
      <c r="AD339">
        <v>414</v>
      </c>
      <c r="AE339">
        <v>196</v>
      </c>
      <c r="AF339">
        <v>481</v>
      </c>
      <c r="AG339">
        <v>166</v>
      </c>
      <c r="AH339">
        <f>fpl_player_statistics_cleaned[[#This Row],[Total Points]] / fpl_player_statistics_cleaned[[#This Row],[Now Cost]]</f>
        <v>1.5384615384615383</v>
      </c>
      <c r="AI339">
        <f>fpl_player_statistics_cleaned[[#This Row],[Goals Scored]] + fpl_player_statistics_cleaned[[#This Row],[Assists]]</f>
        <v>0</v>
      </c>
      <c r="AJ339">
        <f>fpl_player_statistics_cleaned[[#This Row],[Total Points]] / fpl_player_statistics_cleaned[[#This Row],[Starts]]</f>
        <v>4</v>
      </c>
      <c r="AK339">
        <f>((fpl_player_statistics_cleaned[[#This Row],[Points Per Game]]) * fpl_player_statistics_cleaned[[#This Row],[Form]]) / fpl_player_statistics_cleaned[[#This Row],[Now Cost]]</f>
        <v>0.15384615384615385</v>
      </c>
      <c r="AL339">
        <f>fpl_player_statistics_cleaned[[#This Row],[Minutes]] / fpl_player_statistics_cleaned[[#This Row],[Total Points]]</f>
        <v>30.25</v>
      </c>
      <c r="AM33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1.2307692307692308</v>
      </c>
    </row>
    <row r="340" spans="1:39" x14ac:dyDescent="0.2">
      <c r="A340" t="s">
        <v>370</v>
      </c>
      <c r="B340" t="s">
        <v>122</v>
      </c>
      <c r="C340" t="s">
        <v>38</v>
      </c>
      <c r="D340">
        <v>4.4000000000000004</v>
      </c>
      <c r="E340">
        <v>8</v>
      </c>
      <c r="F340">
        <v>1.3</v>
      </c>
      <c r="G340">
        <v>0.1</v>
      </c>
      <c r="H340">
        <v>0</v>
      </c>
      <c r="I340">
        <v>0</v>
      </c>
      <c r="J340">
        <v>438</v>
      </c>
      <c r="K340">
        <v>0</v>
      </c>
      <c r="L340">
        <v>9</v>
      </c>
      <c r="M340">
        <v>0</v>
      </c>
      <c r="N340">
        <v>0</v>
      </c>
      <c r="O340">
        <v>10.199999999999999</v>
      </c>
      <c r="P340">
        <v>0.2</v>
      </c>
      <c r="Q340">
        <v>0</v>
      </c>
      <c r="R340">
        <v>0</v>
      </c>
      <c r="S340">
        <v>1.8</v>
      </c>
      <c r="T340">
        <v>0.03</v>
      </c>
      <c r="U340">
        <v>0.03</v>
      </c>
      <c r="V340">
        <v>0.06</v>
      </c>
      <c r="W340">
        <v>7.13</v>
      </c>
      <c r="X340">
        <v>5</v>
      </c>
      <c r="Y340" t="s">
        <v>1000</v>
      </c>
      <c r="Z340">
        <v>525</v>
      </c>
      <c r="AA340">
        <v>126</v>
      </c>
      <c r="AB340">
        <v>354</v>
      </c>
      <c r="AC340">
        <v>124</v>
      </c>
      <c r="AD340">
        <v>352</v>
      </c>
      <c r="AE340">
        <v>124</v>
      </c>
      <c r="AF340">
        <v>504</v>
      </c>
      <c r="AG340">
        <v>183</v>
      </c>
      <c r="AH340">
        <f>fpl_player_statistics_cleaned[[#This Row],[Total Points]] / fpl_player_statistics_cleaned[[#This Row],[Now Cost]]</f>
        <v>1.8181818181818181</v>
      </c>
      <c r="AI340">
        <f>fpl_player_statistics_cleaned[[#This Row],[Goals Scored]] + fpl_player_statistics_cleaned[[#This Row],[Assists]]</f>
        <v>0</v>
      </c>
      <c r="AJ340">
        <f>fpl_player_statistics_cleaned[[#This Row],[Total Points]] / fpl_player_statistics_cleaned[[#This Row],[Starts]]</f>
        <v>1.6</v>
      </c>
      <c r="AK340">
        <f>((fpl_player_statistics_cleaned[[#This Row],[Points Per Game]]) * fpl_player_statistics_cleaned[[#This Row],[Form]]) / fpl_player_statistics_cleaned[[#This Row],[Now Cost]]</f>
        <v>5.909090909090909E-2</v>
      </c>
      <c r="AL340">
        <f>fpl_player_statistics_cleaned[[#This Row],[Minutes]] / fpl_player_statistics_cleaned[[#This Row],[Total Points]]</f>
        <v>54.75</v>
      </c>
      <c r="AM34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0.47272727272727277</v>
      </c>
    </row>
    <row r="341" spans="1:39" x14ac:dyDescent="0.2">
      <c r="A341" t="s">
        <v>371</v>
      </c>
      <c r="B341" t="s">
        <v>97</v>
      </c>
      <c r="C341" t="s">
        <v>38</v>
      </c>
      <c r="D341">
        <v>4.3</v>
      </c>
      <c r="E341">
        <v>7</v>
      </c>
      <c r="F341">
        <v>1.2</v>
      </c>
      <c r="G341">
        <v>0.1</v>
      </c>
      <c r="H341">
        <v>0</v>
      </c>
      <c r="I341">
        <v>0</v>
      </c>
      <c r="J341">
        <v>486</v>
      </c>
      <c r="K341">
        <v>0</v>
      </c>
      <c r="L341">
        <v>12</v>
      </c>
      <c r="M341">
        <v>0</v>
      </c>
      <c r="N341">
        <v>0</v>
      </c>
      <c r="O341">
        <v>13.1</v>
      </c>
      <c r="P341">
        <v>1.5</v>
      </c>
      <c r="Q341">
        <v>0</v>
      </c>
      <c r="R341">
        <v>0.3</v>
      </c>
      <c r="S341">
        <v>1.6</v>
      </c>
      <c r="T341">
        <v>0</v>
      </c>
      <c r="U341">
        <v>0.04</v>
      </c>
      <c r="V341">
        <v>0.04</v>
      </c>
      <c r="W341">
        <v>7.64</v>
      </c>
      <c r="X341">
        <v>6</v>
      </c>
      <c r="Y341" t="s">
        <v>1000</v>
      </c>
      <c r="Z341">
        <v>591</v>
      </c>
      <c r="AA341">
        <v>147</v>
      </c>
      <c r="AB341">
        <v>222</v>
      </c>
      <c r="AC341">
        <v>71</v>
      </c>
      <c r="AD341">
        <v>359</v>
      </c>
      <c r="AE341">
        <v>125</v>
      </c>
      <c r="AF341">
        <v>466</v>
      </c>
      <c r="AG341">
        <v>171</v>
      </c>
      <c r="AH341">
        <f>fpl_player_statistics_cleaned[[#This Row],[Total Points]] / fpl_player_statistics_cleaned[[#This Row],[Now Cost]]</f>
        <v>1.6279069767441861</v>
      </c>
      <c r="AI341">
        <f>fpl_player_statistics_cleaned[[#This Row],[Goals Scored]] + fpl_player_statistics_cleaned[[#This Row],[Assists]]</f>
        <v>0</v>
      </c>
      <c r="AJ341">
        <f>fpl_player_statistics_cleaned[[#This Row],[Total Points]] / fpl_player_statistics_cleaned[[#This Row],[Starts]]</f>
        <v>1.1666666666666667</v>
      </c>
      <c r="AK341">
        <f>((fpl_player_statistics_cleaned[[#This Row],[Points Per Game]]) * fpl_player_statistics_cleaned[[#This Row],[Form]]) / fpl_player_statistics_cleaned[[#This Row],[Now Cost]]</f>
        <v>0.41860465116279066</v>
      </c>
      <c r="AL341">
        <f>fpl_player_statistics_cleaned[[#This Row],[Minutes]] / fpl_player_statistics_cleaned[[#This Row],[Total Points]]</f>
        <v>69.428571428571431</v>
      </c>
      <c r="AM34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2.9302325581395348</v>
      </c>
    </row>
    <row r="342" spans="1:39" x14ac:dyDescent="0.2">
      <c r="A342" t="s">
        <v>372</v>
      </c>
      <c r="B342" t="s">
        <v>47</v>
      </c>
      <c r="C342" t="s">
        <v>35</v>
      </c>
      <c r="D342">
        <v>4.2</v>
      </c>
      <c r="E342">
        <v>7</v>
      </c>
      <c r="F342">
        <v>1.2</v>
      </c>
      <c r="G342">
        <v>7</v>
      </c>
      <c r="H342">
        <v>0</v>
      </c>
      <c r="I342">
        <v>0</v>
      </c>
      <c r="J342">
        <v>162</v>
      </c>
      <c r="K342">
        <v>0</v>
      </c>
      <c r="L342">
        <v>2</v>
      </c>
      <c r="M342">
        <v>0</v>
      </c>
      <c r="N342">
        <v>0</v>
      </c>
      <c r="O342">
        <v>4.9000000000000004</v>
      </c>
      <c r="P342">
        <v>1</v>
      </c>
      <c r="Q342">
        <v>0</v>
      </c>
      <c r="R342">
        <v>0.2</v>
      </c>
      <c r="S342">
        <v>1.7</v>
      </c>
      <c r="T342">
        <v>1.19</v>
      </c>
      <c r="U342">
        <v>0.01</v>
      </c>
      <c r="V342">
        <v>1.2</v>
      </c>
      <c r="W342">
        <v>4.1900000000000004</v>
      </c>
      <c r="X342">
        <v>1</v>
      </c>
      <c r="Y342" t="s">
        <v>1000</v>
      </c>
      <c r="Z342">
        <v>612</v>
      </c>
      <c r="AA342">
        <v>83</v>
      </c>
      <c r="AB342">
        <v>262</v>
      </c>
      <c r="AC342">
        <v>28</v>
      </c>
      <c r="AD342">
        <v>357</v>
      </c>
      <c r="AE342">
        <v>38</v>
      </c>
      <c r="AF342">
        <v>55</v>
      </c>
      <c r="AG342">
        <v>11</v>
      </c>
      <c r="AH342">
        <f>fpl_player_statistics_cleaned[[#This Row],[Total Points]] / fpl_player_statistics_cleaned[[#This Row],[Now Cost]]</f>
        <v>1.6666666666666665</v>
      </c>
      <c r="AI342">
        <f>fpl_player_statistics_cleaned[[#This Row],[Goals Scored]] + fpl_player_statistics_cleaned[[#This Row],[Assists]]</f>
        <v>0</v>
      </c>
      <c r="AJ342">
        <f>fpl_player_statistics_cleaned[[#This Row],[Total Points]] / fpl_player_statistics_cleaned[[#This Row],[Starts]]</f>
        <v>7</v>
      </c>
      <c r="AK342">
        <f>((fpl_player_statistics_cleaned[[#This Row],[Points Per Game]]) * fpl_player_statistics_cleaned[[#This Row],[Form]]) / fpl_player_statistics_cleaned[[#This Row],[Now Cost]]</f>
        <v>0.2857142857142857</v>
      </c>
      <c r="AL342">
        <f>fpl_player_statistics_cleaned[[#This Row],[Minutes]] / fpl_player_statistics_cleaned[[#This Row],[Total Points]]</f>
        <v>23.142857142857142</v>
      </c>
      <c r="AM34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1.9999999999999998</v>
      </c>
    </row>
    <row r="343" spans="1:39" x14ac:dyDescent="0.2">
      <c r="A343" t="s">
        <v>373</v>
      </c>
      <c r="B343" t="s">
        <v>47</v>
      </c>
      <c r="C343" t="s">
        <v>41</v>
      </c>
      <c r="D343">
        <v>4.5</v>
      </c>
      <c r="E343">
        <v>7</v>
      </c>
      <c r="F343">
        <v>0.9</v>
      </c>
      <c r="G343">
        <v>0.3</v>
      </c>
      <c r="H343">
        <v>0</v>
      </c>
      <c r="I343">
        <v>0</v>
      </c>
      <c r="J343">
        <v>227</v>
      </c>
      <c r="K343">
        <v>0</v>
      </c>
      <c r="L343">
        <v>2</v>
      </c>
      <c r="M343">
        <v>0</v>
      </c>
      <c r="N343">
        <v>0</v>
      </c>
      <c r="O343">
        <v>11.3</v>
      </c>
      <c r="P343">
        <v>0.5</v>
      </c>
      <c r="Q343">
        <v>0</v>
      </c>
      <c r="R343">
        <v>0.1</v>
      </c>
      <c r="S343">
        <v>1.6</v>
      </c>
      <c r="T343">
        <v>0.7</v>
      </c>
      <c r="U343">
        <v>0.05</v>
      </c>
      <c r="V343">
        <v>0.75</v>
      </c>
      <c r="W343">
        <v>3.02</v>
      </c>
      <c r="X343">
        <v>2</v>
      </c>
      <c r="Y343" t="s">
        <v>1000</v>
      </c>
      <c r="Z343">
        <v>447</v>
      </c>
      <c r="AA343">
        <v>267</v>
      </c>
      <c r="AB343">
        <v>312</v>
      </c>
      <c r="AC343">
        <v>153</v>
      </c>
      <c r="AD343">
        <v>433</v>
      </c>
      <c r="AE343">
        <v>207</v>
      </c>
      <c r="AF343">
        <v>308</v>
      </c>
      <c r="AG343">
        <v>107</v>
      </c>
      <c r="AH343">
        <f>fpl_player_statistics_cleaned[[#This Row],[Total Points]] / fpl_player_statistics_cleaned[[#This Row],[Now Cost]]</f>
        <v>1.5555555555555556</v>
      </c>
      <c r="AI343">
        <f>fpl_player_statistics_cleaned[[#This Row],[Goals Scored]] + fpl_player_statistics_cleaned[[#This Row],[Assists]]</f>
        <v>0</v>
      </c>
      <c r="AJ343">
        <f>fpl_player_statistics_cleaned[[#This Row],[Total Points]] / fpl_player_statistics_cleaned[[#This Row],[Starts]]</f>
        <v>3.5</v>
      </c>
      <c r="AK343">
        <f>((fpl_player_statistics_cleaned[[#This Row],[Points Per Game]]) * fpl_player_statistics_cleaned[[#This Row],[Form]]) / fpl_player_statistics_cleaned[[#This Row],[Now Cost]]</f>
        <v>0.1</v>
      </c>
      <c r="AL343">
        <f>fpl_player_statistics_cleaned[[#This Row],[Minutes]] / fpl_player_statistics_cleaned[[#This Row],[Total Points]]</f>
        <v>32.428571428571431</v>
      </c>
      <c r="AM34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0.70000000000000007</v>
      </c>
    </row>
    <row r="344" spans="1:39" x14ac:dyDescent="0.2">
      <c r="A344" t="s">
        <v>950</v>
      </c>
      <c r="B344" t="s">
        <v>153</v>
      </c>
      <c r="C344" t="s">
        <v>41</v>
      </c>
      <c r="D344">
        <v>5.2</v>
      </c>
      <c r="E344">
        <v>7</v>
      </c>
      <c r="F344">
        <v>1.4</v>
      </c>
      <c r="G344">
        <v>0</v>
      </c>
      <c r="H344">
        <v>0</v>
      </c>
      <c r="I344">
        <v>1</v>
      </c>
      <c r="J344">
        <v>116</v>
      </c>
      <c r="K344">
        <v>0</v>
      </c>
      <c r="L344">
        <v>5</v>
      </c>
      <c r="M344">
        <v>0</v>
      </c>
      <c r="N344">
        <v>0</v>
      </c>
      <c r="O344">
        <v>11</v>
      </c>
      <c r="P344">
        <v>0.2</v>
      </c>
      <c r="Q344">
        <v>0</v>
      </c>
      <c r="R344">
        <v>0</v>
      </c>
      <c r="S344">
        <v>1.3</v>
      </c>
      <c r="T344">
        <v>0.14000000000000001</v>
      </c>
      <c r="U344">
        <v>0.52</v>
      </c>
      <c r="V344">
        <v>0.66</v>
      </c>
      <c r="W344">
        <v>1.01</v>
      </c>
      <c r="X344">
        <v>1</v>
      </c>
      <c r="Y344" t="s">
        <v>1000</v>
      </c>
      <c r="Z344">
        <v>229</v>
      </c>
      <c r="AA344">
        <v>142</v>
      </c>
      <c r="AB344">
        <v>374</v>
      </c>
      <c r="AC344">
        <v>179</v>
      </c>
      <c r="AD344">
        <v>343</v>
      </c>
      <c r="AE344">
        <v>162</v>
      </c>
      <c r="AF344">
        <v>625</v>
      </c>
      <c r="AG344">
        <v>253</v>
      </c>
      <c r="AH344">
        <f>fpl_player_statistics_cleaned[[#This Row],[Total Points]] / fpl_player_statistics_cleaned[[#This Row],[Now Cost]]</f>
        <v>1.346153846153846</v>
      </c>
      <c r="AI344">
        <f>fpl_player_statistics_cleaned[[#This Row],[Goals Scored]] + fpl_player_statistics_cleaned[[#This Row],[Assists]]</f>
        <v>1</v>
      </c>
      <c r="AJ344">
        <f>fpl_player_statistics_cleaned[[#This Row],[Total Points]] / fpl_player_statistics_cleaned[[#This Row],[Starts]]</f>
        <v>7</v>
      </c>
      <c r="AK344">
        <f>((fpl_player_statistics_cleaned[[#This Row],[Points Per Game]]) * fpl_player_statistics_cleaned[[#This Row],[Form]]) / fpl_player_statistics_cleaned[[#This Row],[Now Cost]]</f>
        <v>5.3846153846153842E-2</v>
      </c>
      <c r="AL344">
        <f>fpl_player_statistics_cleaned[[#This Row],[Minutes]] / fpl_player_statistics_cleaned[[#This Row],[Total Points]]</f>
        <v>16.571428571428573</v>
      </c>
      <c r="AM34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0.37692307692307697</v>
      </c>
    </row>
    <row r="345" spans="1:39" x14ac:dyDescent="0.2">
      <c r="A345" t="s">
        <v>374</v>
      </c>
      <c r="B345" t="s">
        <v>37</v>
      </c>
      <c r="C345" t="s">
        <v>41</v>
      </c>
      <c r="D345">
        <v>5.2</v>
      </c>
      <c r="E345">
        <v>7</v>
      </c>
      <c r="F345">
        <v>1.4</v>
      </c>
      <c r="G345">
        <v>0.1</v>
      </c>
      <c r="H345">
        <v>0</v>
      </c>
      <c r="I345">
        <v>0</v>
      </c>
      <c r="J345">
        <v>163</v>
      </c>
      <c r="K345">
        <v>1</v>
      </c>
      <c r="L345">
        <v>0</v>
      </c>
      <c r="M345">
        <v>0</v>
      </c>
      <c r="N345">
        <v>0</v>
      </c>
      <c r="O345">
        <v>5.4</v>
      </c>
      <c r="P345">
        <v>0.2</v>
      </c>
      <c r="Q345">
        <v>0</v>
      </c>
      <c r="R345">
        <v>0</v>
      </c>
      <c r="S345">
        <v>1.3</v>
      </c>
      <c r="T345">
        <v>0.23</v>
      </c>
      <c r="U345">
        <v>0.08</v>
      </c>
      <c r="V345">
        <v>0.31</v>
      </c>
      <c r="W345">
        <v>0.73</v>
      </c>
      <c r="X345">
        <v>0</v>
      </c>
      <c r="Y345" t="s">
        <v>1000</v>
      </c>
      <c r="Z345">
        <v>226</v>
      </c>
      <c r="AA345">
        <v>139</v>
      </c>
      <c r="AB345">
        <v>373</v>
      </c>
      <c r="AC345">
        <v>178</v>
      </c>
      <c r="AD345">
        <v>342</v>
      </c>
      <c r="AE345">
        <v>161</v>
      </c>
      <c r="AF345">
        <v>406</v>
      </c>
      <c r="AG345">
        <v>137</v>
      </c>
      <c r="AH345">
        <f>fpl_player_statistics_cleaned[[#This Row],[Total Points]] / fpl_player_statistics_cleaned[[#This Row],[Now Cost]]</f>
        <v>1.346153846153846</v>
      </c>
      <c r="AI345">
        <f>fpl_player_statistics_cleaned[[#This Row],[Goals Scored]] + fpl_player_statistics_cleaned[[#This Row],[Assists]]</f>
        <v>0</v>
      </c>
      <c r="AJ345" t="e">
        <f>fpl_player_statistics_cleaned[[#This Row],[Total Points]] / fpl_player_statistics_cleaned[[#This Row],[Starts]]</f>
        <v>#DIV/0!</v>
      </c>
      <c r="AK345">
        <f>((fpl_player_statistics_cleaned[[#This Row],[Points Per Game]]) * fpl_player_statistics_cleaned[[#This Row],[Form]]) / fpl_player_statistics_cleaned[[#This Row],[Now Cost]]</f>
        <v>5.3846153846153842E-2</v>
      </c>
      <c r="AL345">
        <f>fpl_player_statistics_cleaned[[#This Row],[Minutes]] / fpl_player_statistics_cleaned[[#This Row],[Total Points]]</f>
        <v>23.285714285714285</v>
      </c>
      <c r="AM34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0.37692307692307697</v>
      </c>
    </row>
    <row r="346" spans="1:39" x14ac:dyDescent="0.2">
      <c r="A346" t="s">
        <v>375</v>
      </c>
      <c r="B346" t="s">
        <v>92</v>
      </c>
      <c r="C346" t="s">
        <v>38</v>
      </c>
      <c r="D346">
        <v>4.4000000000000004</v>
      </c>
      <c r="E346">
        <v>7</v>
      </c>
      <c r="F346">
        <v>2.2999999999999998</v>
      </c>
      <c r="G346">
        <v>0</v>
      </c>
      <c r="H346">
        <v>0</v>
      </c>
      <c r="I346">
        <v>0</v>
      </c>
      <c r="J346">
        <v>168</v>
      </c>
      <c r="K346">
        <v>0</v>
      </c>
      <c r="L346">
        <v>2</v>
      </c>
      <c r="M346">
        <v>0</v>
      </c>
      <c r="N346">
        <v>0</v>
      </c>
      <c r="O346">
        <v>5.0999999999999996</v>
      </c>
      <c r="P346">
        <v>1</v>
      </c>
      <c r="Q346">
        <v>0</v>
      </c>
      <c r="R346">
        <v>0.2</v>
      </c>
      <c r="S346">
        <v>1.6</v>
      </c>
      <c r="T346">
        <v>0</v>
      </c>
      <c r="U346">
        <v>0.01</v>
      </c>
      <c r="V346">
        <v>0.01</v>
      </c>
      <c r="W346">
        <v>2.42</v>
      </c>
      <c r="X346">
        <v>2</v>
      </c>
      <c r="Y346" t="s">
        <v>1000</v>
      </c>
      <c r="Z346">
        <v>515</v>
      </c>
      <c r="AA346">
        <v>123</v>
      </c>
      <c r="AB346">
        <v>264</v>
      </c>
      <c r="AC346">
        <v>89</v>
      </c>
      <c r="AD346">
        <v>224</v>
      </c>
      <c r="AE346">
        <v>81</v>
      </c>
      <c r="AF346">
        <v>601</v>
      </c>
      <c r="AG346">
        <v>211</v>
      </c>
      <c r="AH346">
        <f>fpl_player_statistics_cleaned[[#This Row],[Total Points]] / fpl_player_statistics_cleaned[[#This Row],[Now Cost]]</f>
        <v>1.5909090909090908</v>
      </c>
      <c r="AI346">
        <f>fpl_player_statistics_cleaned[[#This Row],[Goals Scored]] + fpl_player_statistics_cleaned[[#This Row],[Assists]]</f>
        <v>0</v>
      </c>
      <c r="AJ346">
        <f>fpl_player_statistics_cleaned[[#This Row],[Total Points]] / fpl_player_statistics_cleaned[[#This Row],[Starts]]</f>
        <v>3.5</v>
      </c>
      <c r="AK346">
        <f>((fpl_player_statistics_cleaned[[#This Row],[Points Per Game]]) * fpl_player_statistics_cleaned[[#This Row],[Form]]) / fpl_player_statistics_cleaned[[#This Row],[Now Cost]]</f>
        <v>0.5227272727272726</v>
      </c>
      <c r="AL346">
        <f>fpl_player_statistics_cleaned[[#This Row],[Minutes]] / fpl_player_statistics_cleaned[[#This Row],[Total Points]]</f>
        <v>24</v>
      </c>
      <c r="AM34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3.6590909090909087</v>
      </c>
    </row>
    <row r="347" spans="1:39" hidden="1" x14ac:dyDescent="0.2">
      <c r="A347" t="s">
        <v>376</v>
      </c>
      <c r="B347" t="s">
        <v>49</v>
      </c>
      <c r="C347" t="s">
        <v>41</v>
      </c>
      <c r="D347">
        <v>4.7</v>
      </c>
      <c r="E347">
        <v>7</v>
      </c>
      <c r="F347">
        <v>1</v>
      </c>
      <c r="G347">
        <v>0.4</v>
      </c>
      <c r="H347">
        <v>0</v>
      </c>
      <c r="I347">
        <v>0</v>
      </c>
      <c r="J347">
        <v>138</v>
      </c>
      <c r="K347">
        <v>0</v>
      </c>
      <c r="L347">
        <v>6</v>
      </c>
      <c r="M347">
        <v>0</v>
      </c>
      <c r="N347">
        <v>0</v>
      </c>
      <c r="O347">
        <v>9.1</v>
      </c>
      <c r="P347">
        <v>0.5</v>
      </c>
      <c r="Q347">
        <v>0</v>
      </c>
      <c r="R347">
        <v>0.1</v>
      </c>
      <c r="S347">
        <v>1.5</v>
      </c>
      <c r="T347">
        <v>7.0000000000000007E-2</v>
      </c>
      <c r="U347">
        <v>0.12</v>
      </c>
      <c r="V347">
        <v>0.19</v>
      </c>
      <c r="W347">
        <v>3.53</v>
      </c>
      <c r="X347">
        <v>0</v>
      </c>
      <c r="Y347" t="s">
        <v>89</v>
      </c>
      <c r="Z347">
        <v>383</v>
      </c>
      <c r="AA347">
        <v>239</v>
      </c>
      <c r="AB347">
        <v>314</v>
      </c>
      <c r="AC347">
        <v>155</v>
      </c>
      <c r="AD347">
        <v>393</v>
      </c>
      <c r="AE347">
        <v>182</v>
      </c>
      <c r="AF347">
        <v>245</v>
      </c>
      <c r="AG347">
        <v>87</v>
      </c>
      <c r="AI347">
        <v>0.8</v>
      </c>
    </row>
    <row r="348" spans="1:39" hidden="1" x14ac:dyDescent="0.2">
      <c r="A348" t="s">
        <v>377</v>
      </c>
      <c r="B348" t="s">
        <v>122</v>
      </c>
      <c r="C348" t="s">
        <v>41</v>
      </c>
      <c r="D348">
        <v>5</v>
      </c>
      <c r="E348">
        <v>7</v>
      </c>
      <c r="F348">
        <v>1.8</v>
      </c>
      <c r="G348">
        <v>0</v>
      </c>
      <c r="H348">
        <v>0</v>
      </c>
      <c r="I348">
        <v>1</v>
      </c>
      <c r="J348">
        <v>185</v>
      </c>
      <c r="K348">
        <v>0</v>
      </c>
      <c r="L348">
        <v>5</v>
      </c>
      <c r="M348">
        <v>0</v>
      </c>
      <c r="N348">
        <v>0</v>
      </c>
      <c r="O348">
        <v>8</v>
      </c>
      <c r="P348">
        <v>0.5</v>
      </c>
      <c r="Q348">
        <v>0</v>
      </c>
      <c r="R348">
        <v>0.1</v>
      </c>
      <c r="S348">
        <v>1.4</v>
      </c>
      <c r="T348">
        <v>0.02</v>
      </c>
      <c r="U348">
        <v>0.48</v>
      </c>
      <c r="V348">
        <v>0.5</v>
      </c>
      <c r="W348">
        <v>2.2599999999999998</v>
      </c>
      <c r="X348">
        <v>4</v>
      </c>
      <c r="Y348" t="s">
        <v>378</v>
      </c>
      <c r="Z348">
        <v>260</v>
      </c>
      <c r="AA348">
        <v>161</v>
      </c>
      <c r="AB348">
        <v>321</v>
      </c>
      <c r="AC348">
        <v>160</v>
      </c>
      <c r="AD348">
        <v>299</v>
      </c>
      <c r="AE348">
        <v>138</v>
      </c>
      <c r="AF348">
        <v>576</v>
      </c>
      <c r="AG348">
        <v>215</v>
      </c>
      <c r="AI348">
        <v>0.54545454545454541</v>
      </c>
    </row>
    <row r="349" spans="1:39" x14ac:dyDescent="0.2">
      <c r="A349" t="s">
        <v>379</v>
      </c>
      <c r="B349" t="s">
        <v>100</v>
      </c>
      <c r="C349" t="s">
        <v>41</v>
      </c>
      <c r="D349">
        <v>4.8</v>
      </c>
      <c r="E349">
        <v>7</v>
      </c>
      <c r="F349">
        <v>1.4</v>
      </c>
      <c r="G349">
        <v>0</v>
      </c>
      <c r="H349">
        <v>0</v>
      </c>
      <c r="I349">
        <v>0</v>
      </c>
      <c r="J349">
        <v>211</v>
      </c>
      <c r="K349">
        <v>1</v>
      </c>
      <c r="L349">
        <v>6</v>
      </c>
      <c r="M349">
        <v>0</v>
      </c>
      <c r="N349">
        <v>0</v>
      </c>
      <c r="O349">
        <v>3.6</v>
      </c>
      <c r="P349">
        <v>0</v>
      </c>
      <c r="Q349">
        <v>0</v>
      </c>
      <c r="R349">
        <v>0</v>
      </c>
      <c r="S349">
        <v>1.5</v>
      </c>
      <c r="T349">
        <v>0</v>
      </c>
      <c r="U349">
        <v>0.01</v>
      </c>
      <c r="V349">
        <v>0.01</v>
      </c>
      <c r="W349">
        <v>3.86</v>
      </c>
      <c r="X349">
        <v>2</v>
      </c>
      <c r="Y349" t="s">
        <v>1000</v>
      </c>
      <c r="Z349">
        <v>370</v>
      </c>
      <c r="AA349">
        <v>233</v>
      </c>
      <c r="AB349">
        <v>655</v>
      </c>
      <c r="AC349">
        <v>269</v>
      </c>
      <c r="AD349">
        <v>340</v>
      </c>
      <c r="AE349">
        <v>159</v>
      </c>
      <c r="AF349">
        <v>610</v>
      </c>
      <c r="AG349">
        <v>243</v>
      </c>
      <c r="AH349">
        <f>fpl_player_statistics_cleaned[[#This Row],[Total Points]] / fpl_player_statistics_cleaned[[#This Row],[Now Cost]]</f>
        <v>1.4583333333333335</v>
      </c>
      <c r="AI349">
        <f>fpl_player_statistics_cleaned[[#This Row],[Goals Scored]] + fpl_player_statistics_cleaned[[#This Row],[Assists]]</f>
        <v>0</v>
      </c>
      <c r="AJ349">
        <f>fpl_player_statistics_cleaned[[#This Row],[Total Points]] / fpl_player_statistics_cleaned[[#This Row],[Starts]]</f>
        <v>3.5</v>
      </c>
      <c r="AK349">
        <f>((fpl_player_statistics_cleaned[[#This Row],[Points Per Game]]) * fpl_player_statistics_cleaned[[#This Row],[Form]]) / fpl_player_statistics_cleaned[[#This Row],[Now Cost]]</f>
        <v>0</v>
      </c>
      <c r="AL349">
        <f>fpl_player_statistics_cleaned[[#This Row],[Minutes]] / fpl_player_statistics_cleaned[[#This Row],[Total Points]]</f>
        <v>30.142857142857142</v>
      </c>
      <c r="AM34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350" spans="1:39" hidden="1" x14ac:dyDescent="0.2">
      <c r="A350" t="s">
        <v>380</v>
      </c>
      <c r="B350" t="s">
        <v>63</v>
      </c>
      <c r="C350" t="s">
        <v>38</v>
      </c>
      <c r="D350">
        <v>5.8</v>
      </c>
      <c r="E350">
        <v>7</v>
      </c>
      <c r="F350">
        <v>1.8</v>
      </c>
      <c r="G350">
        <v>5.0999999999999996</v>
      </c>
      <c r="H350">
        <v>0</v>
      </c>
      <c r="I350">
        <v>1</v>
      </c>
      <c r="J350">
        <v>83</v>
      </c>
      <c r="K350">
        <v>0</v>
      </c>
      <c r="L350">
        <v>1</v>
      </c>
      <c r="M350">
        <v>0</v>
      </c>
      <c r="N350">
        <v>0</v>
      </c>
      <c r="O350">
        <v>6.6</v>
      </c>
      <c r="P350">
        <v>0.2</v>
      </c>
      <c r="Q350">
        <v>0</v>
      </c>
      <c r="R350">
        <v>0</v>
      </c>
      <c r="S350">
        <v>1.2</v>
      </c>
      <c r="T350">
        <v>0.09</v>
      </c>
      <c r="U350">
        <v>0.34</v>
      </c>
      <c r="V350">
        <v>0.43</v>
      </c>
      <c r="W350">
        <v>1.96</v>
      </c>
      <c r="X350">
        <v>1</v>
      </c>
      <c r="Y350" t="s">
        <v>378</v>
      </c>
      <c r="Z350">
        <v>110</v>
      </c>
      <c r="AA350">
        <v>7</v>
      </c>
      <c r="AB350">
        <v>377</v>
      </c>
      <c r="AC350">
        <v>131</v>
      </c>
      <c r="AD350">
        <v>304</v>
      </c>
      <c r="AE350">
        <v>108</v>
      </c>
      <c r="AF350">
        <v>68</v>
      </c>
      <c r="AG350">
        <v>22</v>
      </c>
      <c r="AI350">
        <v>0.69767441860465118</v>
      </c>
    </row>
    <row r="351" spans="1:39" x14ac:dyDescent="0.2">
      <c r="A351" t="s">
        <v>381</v>
      </c>
      <c r="B351" t="s">
        <v>92</v>
      </c>
      <c r="C351" t="s">
        <v>41</v>
      </c>
      <c r="D351">
        <v>5.3</v>
      </c>
      <c r="E351">
        <v>7</v>
      </c>
      <c r="F351">
        <v>1.8</v>
      </c>
      <c r="G351">
        <v>0</v>
      </c>
      <c r="H351">
        <v>0</v>
      </c>
      <c r="I351">
        <v>1</v>
      </c>
      <c r="J351">
        <v>77</v>
      </c>
      <c r="K351">
        <v>0</v>
      </c>
      <c r="L351">
        <v>4</v>
      </c>
      <c r="M351">
        <v>0</v>
      </c>
      <c r="N351">
        <v>0</v>
      </c>
      <c r="O351">
        <v>8.6999999999999993</v>
      </c>
      <c r="P351">
        <v>0.5</v>
      </c>
      <c r="Q351">
        <v>0</v>
      </c>
      <c r="R351">
        <v>0.1</v>
      </c>
      <c r="S351">
        <v>1.3</v>
      </c>
      <c r="T351">
        <v>0.6</v>
      </c>
      <c r="U351">
        <v>0.51</v>
      </c>
      <c r="V351">
        <v>1.1100000000000001</v>
      </c>
      <c r="W351">
        <v>1.32</v>
      </c>
      <c r="X351">
        <v>0</v>
      </c>
      <c r="Y351" t="s">
        <v>1000</v>
      </c>
      <c r="Z351">
        <v>199</v>
      </c>
      <c r="AA351">
        <v>125</v>
      </c>
      <c r="AB351">
        <v>328</v>
      </c>
      <c r="AC351">
        <v>164</v>
      </c>
      <c r="AD351">
        <v>301</v>
      </c>
      <c r="AE351">
        <v>140</v>
      </c>
      <c r="AF351">
        <v>660</v>
      </c>
      <c r="AG351">
        <v>276</v>
      </c>
      <c r="AH351">
        <f>fpl_player_statistics_cleaned[[#This Row],[Total Points]] / fpl_player_statistics_cleaned[[#This Row],[Now Cost]]</f>
        <v>1.3207547169811322</v>
      </c>
      <c r="AI351">
        <f>fpl_player_statistics_cleaned[[#This Row],[Goals Scored]] + fpl_player_statistics_cleaned[[#This Row],[Assists]]</f>
        <v>1</v>
      </c>
      <c r="AJ351" t="e">
        <f>fpl_player_statistics_cleaned[[#This Row],[Total Points]] / fpl_player_statistics_cleaned[[#This Row],[Starts]]</f>
        <v>#DIV/0!</v>
      </c>
      <c r="AK351">
        <f>((fpl_player_statistics_cleaned[[#This Row],[Points Per Game]]) * fpl_player_statistics_cleaned[[#This Row],[Form]]) / fpl_player_statistics_cleaned[[#This Row],[Now Cost]]</f>
        <v>0.169811320754717</v>
      </c>
      <c r="AL351">
        <f>fpl_player_statistics_cleaned[[#This Row],[Minutes]] / fpl_player_statistics_cleaned[[#This Row],[Total Points]]</f>
        <v>11</v>
      </c>
      <c r="AM35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1.188679245283019</v>
      </c>
    </row>
    <row r="352" spans="1:39" hidden="1" x14ac:dyDescent="0.2">
      <c r="A352" t="s">
        <v>951</v>
      </c>
      <c r="B352" t="s">
        <v>81</v>
      </c>
      <c r="C352" t="s">
        <v>38</v>
      </c>
      <c r="D352">
        <v>4.3</v>
      </c>
      <c r="E352">
        <v>7</v>
      </c>
      <c r="F352">
        <v>1.4</v>
      </c>
      <c r="G352">
        <v>0.1</v>
      </c>
      <c r="H352">
        <v>0</v>
      </c>
      <c r="I352">
        <v>0</v>
      </c>
      <c r="J352">
        <v>339</v>
      </c>
      <c r="K352">
        <v>0</v>
      </c>
      <c r="L352">
        <v>6</v>
      </c>
      <c r="M352">
        <v>0</v>
      </c>
      <c r="N352">
        <v>0</v>
      </c>
      <c r="O352">
        <v>9.6999999999999993</v>
      </c>
      <c r="P352">
        <v>0</v>
      </c>
      <c r="Q352">
        <v>0</v>
      </c>
      <c r="R352">
        <v>0</v>
      </c>
      <c r="S352">
        <v>1.6</v>
      </c>
      <c r="T352">
        <v>0</v>
      </c>
      <c r="U352">
        <v>0.01</v>
      </c>
      <c r="V352">
        <v>0.01</v>
      </c>
      <c r="W352">
        <v>6.1</v>
      </c>
      <c r="X352">
        <v>4</v>
      </c>
      <c r="Y352" t="s">
        <v>382</v>
      </c>
      <c r="Z352">
        <v>574</v>
      </c>
      <c r="AA352">
        <v>135</v>
      </c>
      <c r="AB352">
        <v>510</v>
      </c>
      <c r="AC352">
        <v>210</v>
      </c>
      <c r="AD352">
        <v>335</v>
      </c>
      <c r="AE352">
        <v>118</v>
      </c>
      <c r="AF352">
        <v>454</v>
      </c>
      <c r="AG352">
        <v>166</v>
      </c>
      <c r="AI352">
        <v>0.55555555555555547</v>
      </c>
    </row>
    <row r="353" spans="1:39" x14ac:dyDescent="0.2">
      <c r="A353" t="s">
        <v>383</v>
      </c>
      <c r="B353" t="s">
        <v>70</v>
      </c>
      <c r="C353" t="s">
        <v>55</v>
      </c>
      <c r="D353">
        <v>4.3</v>
      </c>
      <c r="E353">
        <v>7</v>
      </c>
      <c r="F353">
        <v>3.5</v>
      </c>
      <c r="G353">
        <v>0.5</v>
      </c>
      <c r="H353">
        <v>0</v>
      </c>
      <c r="I353">
        <v>0</v>
      </c>
      <c r="J353">
        <v>180</v>
      </c>
      <c r="K353">
        <v>1</v>
      </c>
      <c r="L353">
        <v>3</v>
      </c>
      <c r="M353">
        <v>4</v>
      </c>
      <c r="N353">
        <v>0</v>
      </c>
      <c r="O353">
        <v>2.6</v>
      </c>
      <c r="P353">
        <v>0</v>
      </c>
      <c r="Q353">
        <v>0</v>
      </c>
      <c r="R353">
        <v>0</v>
      </c>
      <c r="S353">
        <v>1.6</v>
      </c>
      <c r="T353">
        <v>0</v>
      </c>
      <c r="U353">
        <v>0</v>
      </c>
      <c r="V353">
        <v>0</v>
      </c>
      <c r="W353">
        <v>4.0999999999999996</v>
      </c>
      <c r="X353">
        <v>2</v>
      </c>
      <c r="Y353" t="s">
        <v>1000</v>
      </c>
      <c r="Z353">
        <v>570</v>
      </c>
      <c r="AA353">
        <v>32</v>
      </c>
      <c r="AB353">
        <v>508</v>
      </c>
      <c r="AC353">
        <v>70</v>
      </c>
      <c r="AD353">
        <v>117</v>
      </c>
      <c r="AE353">
        <v>12</v>
      </c>
      <c r="AF353">
        <v>240</v>
      </c>
      <c r="AG353">
        <v>33</v>
      </c>
      <c r="AH353">
        <f>fpl_player_statistics_cleaned[[#This Row],[Total Points]] / fpl_player_statistics_cleaned[[#This Row],[Now Cost]]</f>
        <v>1.6279069767441861</v>
      </c>
      <c r="AI353">
        <f>fpl_player_statistics_cleaned[[#This Row],[Goals Scored]] + fpl_player_statistics_cleaned[[#This Row],[Assists]]</f>
        <v>0</v>
      </c>
      <c r="AJ353">
        <f>fpl_player_statistics_cleaned[[#This Row],[Total Points]] / fpl_player_statistics_cleaned[[#This Row],[Starts]]</f>
        <v>3.5</v>
      </c>
      <c r="AK353">
        <f>((fpl_player_statistics_cleaned[[#This Row],[Points Per Game]]) * fpl_player_statistics_cleaned[[#This Row],[Form]]) / fpl_player_statistics_cleaned[[#This Row],[Now Cost]]</f>
        <v>0</v>
      </c>
      <c r="AL353">
        <f>fpl_player_statistics_cleaned[[#This Row],[Minutes]] / fpl_player_statistics_cleaned[[#This Row],[Total Points]]</f>
        <v>25.714285714285715</v>
      </c>
      <c r="AM35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354" spans="1:39" x14ac:dyDescent="0.2">
      <c r="A354" t="s">
        <v>384</v>
      </c>
      <c r="B354" t="s">
        <v>40</v>
      </c>
      <c r="C354" t="s">
        <v>41</v>
      </c>
      <c r="D354">
        <v>4.9000000000000004</v>
      </c>
      <c r="E354">
        <v>7</v>
      </c>
      <c r="F354">
        <v>1.8</v>
      </c>
      <c r="G354">
        <v>0</v>
      </c>
      <c r="H354">
        <v>0</v>
      </c>
      <c r="I354">
        <v>1</v>
      </c>
      <c r="J354">
        <v>53</v>
      </c>
      <c r="K354">
        <v>0</v>
      </c>
      <c r="L354">
        <v>1</v>
      </c>
      <c r="M354">
        <v>0</v>
      </c>
      <c r="N354">
        <v>0</v>
      </c>
      <c r="O354">
        <v>4.7</v>
      </c>
      <c r="P354">
        <v>0.5</v>
      </c>
      <c r="Q354">
        <v>0</v>
      </c>
      <c r="R354">
        <v>0.1</v>
      </c>
      <c r="S354">
        <v>1.4</v>
      </c>
      <c r="T354">
        <v>0.09</v>
      </c>
      <c r="U354">
        <v>0.09</v>
      </c>
      <c r="V354">
        <v>0.18</v>
      </c>
      <c r="W354">
        <v>2.66</v>
      </c>
      <c r="X354">
        <v>0</v>
      </c>
      <c r="Y354" t="s">
        <v>1000</v>
      </c>
      <c r="Z354">
        <v>337</v>
      </c>
      <c r="AA354">
        <v>212</v>
      </c>
      <c r="AB354">
        <v>317</v>
      </c>
      <c r="AC354">
        <v>157</v>
      </c>
      <c r="AD354">
        <v>297</v>
      </c>
      <c r="AE354">
        <v>136</v>
      </c>
      <c r="AF354">
        <v>585</v>
      </c>
      <c r="AG354">
        <v>223</v>
      </c>
      <c r="AH354">
        <f>fpl_player_statistics_cleaned[[#This Row],[Total Points]] / fpl_player_statistics_cleaned[[#This Row],[Now Cost]]</f>
        <v>1.4285714285714284</v>
      </c>
      <c r="AI354">
        <f>fpl_player_statistics_cleaned[[#This Row],[Goals Scored]] + fpl_player_statistics_cleaned[[#This Row],[Assists]]</f>
        <v>1</v>
      </c>
      <c r="AJ354" t="e">
        <f>fpl_player_statistics_cleaned[[#This Row],[Total Points]] / fpl_player_statistics_cleaned[[#This Row],[Starts]]</f>
        <v>#DIV/0!</v>
      </c>
      <c r="AK354">
        <f>((fpl_player_statistics_cleaned[[#This Row],[Points Per Game]]) * fpl_player_statistics_cleaned[[#This Row],[Form]]) / fpl_player_statistics_cleaned[[#This Row],[Now Cost]]</f>
        <v>0.18367346938775508</v>
      </c>
      <c r="AL354">
        <f>fpl_player_statistics_cleaned[[#This Row],[Minutes]] / fpl_player_statistics_cleaned[[#This Row],[Total Points]]</f>
        <v>7.5714285714285712</v>
      </c>
      <c r="AM35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1.2857142857142856</v>
      </c>
    </row>
    <row r="355" spans="1:39" hidden="1" x14ac:dyDescent="0.2">
      <c r="A355" t="s">
        <v>385</v>
      </c>
      <c r="B355" t="s">
        <v>122</v>
      </c>
      <c r="C355" t="s">
        <v>38</v>
      </c>
      <c r="D355">
        <v>4.7</v>
      </c>
      <c r="E355">
        <v>6</v>
      </c>
      <c r="F355">
        <v>2</v>
      </c>
      <c r="G355">
        <v>2.4</v>
      </c>
      <c r="H355">
        <v>0</v>
      </c>
      <c r="I355">
        <v>0</v>
      </c>
      <c r="J355">
        <v>270</v>
      </c>
      <c r="K355">
        <v>0</v>
      </c>
      <c r="L355">
        <v>5</v>
      </c>
      <c r="M355">
        <v>0</v>
      </c>
      <c r="N355">
        <v>0</v>
      </c>
      <c r="O355">
        <v>9.8000000000000007</v>
      </c>
      <c r="P355">
        <v>0</v>
      </c>
      <c r="Q355">
        <v>0</v>
      </c>
      <c r="R355">
        <v>0</v>
      </c>
      <c r="S355">
        <v>1.3</v>
      </c>
      <c r="T355">
        <v>0.04</v>
      </c>
      <c r="U355">
        <v>0.32</v>
      </c>
      <c r="V355">
        <v>0.36</v>
      </c>
      <c r="W355">
        <v>5.0199999999999996</v>
      </c>
      <c r="X355">
        <v>3</v>
      </c>
      <c r="Y355" t="s">
        <v>386</v>
      </c>
      <c r="Z355">
        <v>377</v>
      </c>
      <c r="AA355">
        <v>65</v>
      </c>
      <c r="AB355">
        <v>642</v>
      </c>
      <c r="AC355">
        <v>232</v>
      </c>
      <c r="AD355">
        <v>273</v>
      </c>
      <c r="AE355">
        <v>99</v>
      </c>
      <c r="AF355">
        <v>114</v>
      </c>
      <c r="AG355">
        <v>43</v>
      </c>
      <c r="AI355">
        <v>0.76923076923076927</v>
      </c>
    </row>
    <row r="356" spans="1:39" x14ac:dyDescent="0.2">
      <c r="A356" t="s">
        <v>387</v>
      </c>
      <c r="B356" t="s">
        <v>100</v>
      </c>
      <c r="C356" t="s">
        <v>41</v>
      </c>
      <c r="D356">
        <v>5.2</v>
      </c>
      <c r="E356">
        <v>6</v>
      </c>
      <c r="F356">
        <v>1.5</v>
      </c>
      <c r="G356">
        <v>0.1</v>
      </c>
      <c r="H356">
        <v>0</v>
      </c>
      <c r="I356">
        <v>0</v>
      </c>
      <c r="J356">
        <v>191</v>
      </c>
      <c r="K356">
        <v>1</v>
      </c>
      <c r="L356">
        <v>5</v>
      </c>
      <c r="M356">
        <v>0</v>
      </c>
      <c r="N356">
        <v>0</v>
      </c>
      <c r="O356">
        <v>5.3</v>
      </c>
      <c r="P356">
        <v>0</v>
      </c>
      <c r="Q356">
        <v>0</v>
      </c>
      <c r="R356">
        <v>0</v>
      </c>
      <c r="S356">
        <v>1.2</v>
      </c>
      <c r="T356">
        <v>0.18</v>
      </c>
      <c r="U356">
        <v>0.06</v>
      </c>
      <c r="V356">
        <v>0.24</v>
      </c>
      <c r="W356">
        <v>2.4900000000000002</v>
      </c>
      <c r="X356">
        <v>3</v>
      </c>
      <c r="Y356" t="s">
        <v>1000</v>
      </c>
      <c r="Z356">
        <v>224</v>
      </c>
      <c r="AA356">
        <v>138</v>
      </c>
      <c r="AB356">
        <v>701</v>
      </c>
      <c r="AC356">
        <v>301</v>
      </c>
      <c r="AD356">
        <v>330</v>
      </c>
      <c r="AE356">
        <v>155</v>
      </c>
      <c r="AF356">
        <v>485</v>
      </c>
      <c r="AG356">
        <v>169</v>
      </c>
      <c r="AH356">
        <f>fpl_player_statistics_cleaned[[#This Row],[Total Points]] / fpl_player_statistics_cleaned[[#This Row],[Now Cost]]</f>
        <v>1.1538461538461537</v>
      </c>
      <c r="AI356">
        <f>fpl_player_statistics_cleaned[[#This Row],[Goals Scored]] + fpl_player_statistics_cleaned[[#This Row],[Assists]]</f>
        <v>0</v>
      </c>
      <c r="AJ356">
        <f>fpl_player_statistics_cleaned[[#This Row],[Total Points]] / fpl_player_statistics_cleaned[[#This Row],[Starts]]</f>
        <v>2</v>
      </c>
      <c r="AK356">
        <f>((fpl_player_statistics_cleaned[[#This Row],[Points Per Game]]) * fpl_player_statistics_cleaned[[#This Row],[Form]]) / fpl_player_statistics_cleaned[[#This Row],[Now Cost]]</f>
        <v>0</v>
      </c>
      <c r="AL356">
        <f>fpl_player_statistics_cleaned[[#This Row],[Minutes]] / fpl_player_statistics_cleaned[[#This Row],[Total Points]]</f>
        <v>31.833333333333332</v>
      </c>
      <c r="AM35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357" spans="1:39" x14ac:dyDescent="0.2">
      <c r="A357" t="s">
        <v>388</v>
      </c>
      <c r="B357" t="s">
        <v>37</v>
      </c>
      <c r="C357" t="s">
        <v>38</v>
      </c>
      <c r="D357">
        <v>5.2</v>
      </c>
      <c r="E357">
        <v>6</v>
      </c>
      <c r="F357">
        <v>0.9</v>
      </c>
      <c r="G357">
        <v>1.6</v>
      </c>
      <c r="H357">
        <v>0</v>
      </c>
      <c r="I357">
        <v>0</v>
      </c>
      <c r="J357">
        <v>86</v>
      </c>
      <c r="K357">
        <v>0</v>
      </c>
      <c r="L357">
        <v>0</v>
      </c>
      <c r="M357">
        <v>0</v>
      </c>
      <c r="N357">
        <v>0</v>
      </c>
      <c r="O357">
        <v>2</v>
      </c>
      <c r="P357">
        <v>0.5</v>
      </c>
      <c r="Q357">
        <v>0</v>
      </c>
      <c r="R357">
        <v>0.1</v>
      </c>
      <c r="S357">
        <v>1.2</v>
      </c>
      <c r="T357">
        <v>0</v>
      </c>
      <c r="U357">
        <v>0</v>
      </c>
      <c r="V357">
        <v>0</v>
      </c>
      <c r="W357">
        <v>0.99</v>
      </c>
      <c r="X357">
        <v>0</v>
      </c>
      <c r="Y357" t="s">
        <v>1000</v>
      </c>
      <c r="Z357">
        <v>225</v>
      </c>
      <c r="AA357">
        <v>33</v>
      </c>
      <c r="AB357">
        <v>327</v>
      </c>
      <c r="AC357">
        <v>108</v>
      </c>
      <c r="AD357">
        <v>434</v>
      </c>
      <c r="AE357">
        <v>145</v>
      </c>
      <c r="AF357">
        <v>141</v>
      </c>
      <c r="AG357">
        <v>54</v>
      </c>
      <c r="AH357">
        <f>fpl_player_statistics_cleaned[[#This Row],[Total Points]] / fpl_player_statistics_cleaned[[#This Row],[Now Cost]]</f>
        <v>1.1538461538461537</v>
      </c>
      <c r="AI357">
        <f>fpl_player_statistics_cleaned[[#This Row],[Goals Scored]] + fpl_player_statistics_cleaned[[#This Row],[Assists]]</f>
        <v>0</v>
      </c>
      <c r="AJ357" t="e">
        <f>fpl_player_statistics_cleaned[[#This Row],[Total Points]] / fpl_player_statistics_cleaned[[#This Row],[Starts]]</f>
        <v>#DIV/0!</v>
      </c>
      <c r="AK357">
        <f>((fpl_player_statistics_cleaned[[#This Row],[Points Per Game]]) * fpl_player_statistics_cleaned[[#This Row],[Form]]) / fpl_player_statistics_cleaned[[#This Row],[Now Cost]]</f>
        <v>8.6538461538461536E-2</v>
      </c>
      <c r="AL357">
        <f>fpl_player_statistics_cleaned[[#This Row],[Minutes]] / fpl_player_statistics_cleaned[[#This Row],[Total Points]]</f>
        <v>14.333333333333334</v>
      </c>
      <c r="AM35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0.51923076923076916</v>
      </c>
    </row>
    <row r="358" spans="1:39" x14ac:dyDescent="0.2">
      <c r="A358" t="s">
        <v>389</v>
      </c>
      <c r="B358" t="s">
        <v>37</v>
      </c>
      <c r="C358" t="s">
        <v>38</v>
      </c>
      <c r="D358">
        <v>5.3</v>
      </c>
      <c r="E358">
        <v>6</v>
      </c>
      <c r="F358">
        <v>6</v>
      </c>
      <c r="G358">
        <v>0.4</v>
      </c>
      <c r="H358">
        <v>0</v>
      </c>
      <c r="I358">
        <v>0</v>
      </c>
      <c r="J358">
        <v>70</v>
      </c>
      <c r="K358">
        <v>1</v>
      </c>
      <c r="L358">
        <v>0</v>
      </c>
      <c r="M358">
        <v>0</v>
      </c>
      <c r="N358">
        <v>0</v>
      </c>
      <c r="O358">
        <v>2.8</v>
      </c>
      <c r="P358">
        <v>0</v>
      </c>
      <c r="Q358">
        <v>0</v>
      </c>
      <c r="R358">
        <v>0</v>
      </c>
      <c r="S358">
        <v>1.1000000000000001</v>
      </c>
      <c r="T358">
        <v>0.01</v>
      </c>
      <c r="U358">
        <v>0.01</v>
      </c>
      <c r="V358">
        <v>0.02</v>
      </c>
      <c r="W358">
        <v>0.87</v>
      </c>
      <c r="X358">
        <v>1</v>
      </c>
      <c r="Y358" t="s">
        <v>1000</v>
      </c>
      <c r="Z358">
        <v>195</v>
      </c>
      <c r="AA358">
        <v>26</v>
      </c>
      <c r="AB358">
        <v>705</v>
      </c>
      <c r="AC358">
        <v>243</v>
      </c>
      <c r="AD358">
        <v>7</v>
      </c>
      <c r="AE358">
        <v>5</v>
      </c>
      <c r="AF358">
        <v>265</v>
      </c>
      <c r="AG358">
        <v>100</v>
      </c>
      <c r="AH358">
        <f>fpl_player_statistics_cleaned[[#This Row],[Total Points]] / fpl_player_statistics_cleaned[[#This Row],[Now Cost]]</f>
        <v>1.1320754716981132</v>
      </c>
      <c r="AI358">
        <f>fpl_player_statistics_cleaned[[#This Row],[Goals Scored]] + fpl_player_statistics_cleaned[[#This Row],[Assists]]</f>
        <v>0</v>
      </c>
      <c r="AJ358">
        <f>fpl_player_statistics_cleaned[[#This Row],[Total Points]] / fpl_player_statistics_cleaned[[#This Row],[Starts]]</f>
        <v>6</v>
      </c>
      <c r="AK358">
        <f>((fpl_player_statistics_cleaned[[#This Row],[Points Per Game]]) * fpl_player_statistics_cleaned[[#This Row],[Form]]) / fpl_player_statistics_cleaned[[#This Row],[Now Cost]]</f>
        <v>0</v>
      </c>
      <c r="AL358">
        <f>fpl_player_statistics_cleaned[[#This Row],[Minutes]] / fpl_player_statistics_cleaned[[#This Row],[Total Points]]</f>
        <v>11.666666666666666</v>
      </c>
      <c r="AM35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359" spans="1:39" x14ac:dyDescent="0.2">
      <c r="A359" t="s">
        <v>952</v>
      </c>
      <c r="B359" t="s">
        <v>100</v>
      </c>
      <c r="C359" t="s">
        <v>35</v>
      </c>
      <c r="D359">
        <v>5</v>
      </c>
      <c r="E359">
        <v>6</v>
      </c>
      <c r="F359">
        <v>1.2</v>
      </c>
      <c r="G359">
        <v>0.4</v>
      </c>
      <c r="H359">
        <v>0</v>
      </c>
      <c r="I359">
        <v>0</v>
      </c>
      <c r="J359">
        <v>178</v>
      </c>
      <c r="K359">
        <v>1</v>
      </c>
      <c r="L359">
        <v>5</v>
      </c>
      <c r="M359">
        <v>0</v>
      </c>
      <c r="N359">
        <v>0</v>
      </c>
      <c r="O359">
        <v>9.6</v>
      </c>
      <c r="P359">
        <v>0.5</v>
      </c>
      <c r="Q359">
        <v>0</v>
      </c>
      <c r="R359">
        <v>0.1</v>
      </c>
      <c r="S359">
        <v>1.2</v>
      </c>
      <c r="T359">
        <v>0.51</v>
      </c>
      <c r="U359">
        <v>0.06</v>
      </c>
      <c r="V359">
        <v>0.56999999999999995</v>
      </c>
      <c r="W359">
        <v>3</v>
      </c>
      <c r="X359">
        <v>2</v>
      </c>
      <c r="Y359" t="s">
        <v>1000</v>
      </c>
      <c r="Z359">
        <v>262</v>
      </c>
      <c r="AA359">
        <v>51</v>
      </c>
      <c r="AB359">
        <v>322</v>
      </c>
      <c r="AC359">
        <v>35</v>
      </c>
      <c r="AD359">
        <v>361</v>
      </c>
      <c r="AE359">
        <v>39</v>
      </c>
      <c r="AF359">
        <v>266</v>
      </c>
      <c r="AG359">
        <v>39</v>
      </c>
      <c r="AH359">
        <f>fpl_player_statistics_cleaned[[#This Row],[Total Points]] / fpl_player_statistics_cleaned[[#This Row],[Now Cost]]</f>
        <v>1.2</v>
      </c>
      <c r="AI359">
        <f>fpl_player_statistics_cleaned[[#This Row],[Goals Scored]] + fpl_player_statistics_cleaned[[#This Row],[Assists]]</f>
        <v>0</v>
      </c>
      <c r="AJ359">
        <f>fpl_player_statistics_cleaned[[#This Row],[Total Points]] / fpl_player_statistics_cleaned[[#This Row],[Starts]]</f>
        <v>3</v>
      </c>
      <c r="AK359">
        <f>((fpl_player_statistics_cleaned[[#This Row],[Points Per Game]]) * fpl_player_statistics_cleaned[[#This Row],[Form]]) / fpl_player_statistics_cleaned[[#This Row],[Now Cost]]</f>
        <v>0.12</v>
      </c>
      <c r="AL359">
        <f>fpl_player_statistics_cleaned[[#This Row],[Minutes]] / fpl_player_statistics_cleaned[[#This Row],[Total Points]]</f>
        <v>29.666666666666668</v>
      </c>
      <c r="AM35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0.72</v>
      </c>
    </row>
    <row r="360" spans="1:39" x14ac:dyDescent="0.2">
      <c r="A360" t="s">
        <v>390</v>
      </c>
      <c r="B360" t="s">
        <v>153</v>
      </c>
      <c r="C360" t="s">
        <v>38</v>
      </c>
      <c r="D360">
        <v>4.3</v>
      </c>
      <c r="E360">
        <v>6</v>
      </c>
      <c r="F360">
        <v>0.8</v>
      </c>
      <c r="G360">
        <v>0.1</v>
      </c>
      <c r="H360">
        <v>0</v>
      </c>
      <c r="I360">
        <v>0</v>
      </c>
      <c r="J360">
        <v>525</v>
      </c>
      <c r="K360">
        <v>0</v>
      </c>
      <c r="L360">
        <v>17</v>
      </c>
      <c r="M360">
        <v>0</v>
      </c>
      <c r="N360">
        <v>0</v>
      </c>
      <c r="O360">
        <v>17.899999999999999</v>
      </c>
      <c r="P360">
        <v>0.2</v>
      </c>
      <c r="Q360">
        <v>0</v>
      </c>
      <c r="R360">
        <v>0</v>
      </c>
      <c r="S360">
        <v>1.4</v>
      </c>
      <c r="T360">
        <v>0.04</v>
      </c>
      <c r="U360">
        <v>0.17</v>
      </c>
      <c r="V360">
        <v>0.21</v>
      </c>
      <c r="W360">
        <v>10.82</v>
      </c>
      <c r="X360">
        <v>7</v>
      </c>
      <c r="Y360" t="s">
        <v>1000</v>
      </c>
      <c r="Z360">
        <v>599</v>
      </c>
      <c r="AA360">
        <v>151</v>
      </c>
      <c r="AB360">
        <v>348</v>
      </c>
      <c r="AC360">
        <v>118</v>
      </c>
      <c r="AD360">
        <v>437</v>
      </c>
      <c r="AE360">
        <v>148</v>
      </c>
      <c r="AF360">
        <v>462</v>
      </c>
      <c r="AG360">
        <v>170</v>
      </c>
      <c r="AH360">
        <f>fpl_player_statistics_cleaned[[#This Row],[Total Points]] / fpl_player_statistics_cleaned[[#This Row],[Now Cost]]</f>
        <v>1.3953488372093024</v>
      </c>
      <c r="AI360">
        <f>fpl_player_statistics_cleaned[[#This Row],[Goals Scored]] + fpl_player_statistics_cleaned[[#This Row],[Assists]]</f>
        <v>0</v>
      </c>
      <c r="AJ360">
        <f>fpl_player_statistics_cleaned[[#This Row],[Total Points]] / fpl_player_statistics_cleaned[[#This Row],[Starts]]</f>
        <v>0.8571428571428571</v>
      </c>
      <c r="AK360">
        <f>((fpl_player_statistics_cleaned[[#This Row],[Points Per Game]]) * fpl_player_statistics_cleaned[[#This Row],[Form]]) / fpl_player_statistics_cleaned[[#This Row],[Now Cost]]</f>
        <v>3.7209302325581402E-2</v>
      </c>
      <c r="AL360">
        <f>fpl_player_statistics_cleaned[[#This Row],[Minutes]] / fpl_player_statistics_cleaned[[#This Row],[Total Points]]</f>
        <v>87.5</v>
      </c>
      <c r="AM36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0.22325581395348842</v>
      </c>
    </row>
    <row r="361" spans="1:39" x14ac:dyDescent="0.2">
      <c r="A361" t="s">
        <v>391</v>
      </c>
      <c r="B361" t="s">
        <v>70</v>
      </c>
      <c r="C361" t="s">
        <v>38</v>
      </c>
      <c r="D361">
        <v>4.3</v>
      </c>
      <c r="E361">
        <v>6</v>
      </c>
      <c r="F361">
        <v>0.9</v>
      </c>
      <c r="G361">
        <v>0.4</v>
      </c>
      <c r="H361">
        <v>0</v>
      </c>
      <c r="I361">
        <v>0</v>
      </c>
      <c r="J361">
        <v>169</v>
      </c>
      <c r="K361">
        <v>0</v>
      </c>
      <c r="L361">
        <v>4</v>
      </c>
      <c r="M361">
        <v>0</v>
      </c>
      <c r="N361">
        <v>0</v>
      </c>
      <c r="O361">
        <v>15.1</v>
      </c>
      <c r="P361">
        <v>0.8</v>
      </c>
      <c r="Q361">
        <v>0</v>
      </c>
      <c r="R361">
        <v>0.2</v>
      </c>
      <c r="S361">
        <v>1.4</v>
      </c>
      <c r="T361">
        <v>0.15</v>
      </c>
      <c r="U361">
        <v>0.21</v>
      </c>
      <c r="V361">
        <v>0.36</v>
      </c>
      <c r="W361">
        <v>3.54</v>
      </c>
      <c r="X361">
        <v>1</v>
      </c>
      <c r="Y361" t="s">
        <v>1000</v>
      </c>
      <c r="Z361">
        <v>589</v>
      </c>
      <c r="AA361">
        <v>146</v>
      </c>
      <c r="AB361">
        <v>285</v>
      </c>
      <c r="AC361">
        <v>95</v>
      </c>
      <c r="AD361">
        <v>432</v>
      </c>
      <c r="AE361">
        <v>144</v>
      </c>
      <c r="AF361">
        <v>249</v>
      </c>
      <c r="AG361">
        <v>91</v>
      </c>
      <c r="AH361">
        <f>fpl_player_statistics_cleaned[[#This Row],[Total Points]] / fpl_player_statistics_cleaned[[#This Row],[Now Cost]]</f>
        <v>1.3953488372093024</v>
      </c>
      <c r="AI361">
        <f>fpl_player_statistics_cleaned[[#This Row],[Goals Scored]] + fpl_player_statistics_cleaned[[#This Row],[Assists]]</f>
        <v>0</v>
      </c>
      <c r="AJ361">
        <f>fpl_player_statistics_cleaned[[#This Row],[Total Points]] / fpl_player_statistics_cleaned[[#This Row],[Starts]]</f>
        <v>6</v>
      </c>
      <c r="AK361">
        <f>((fpl_player_statistics_cleaned[[#This Row],[Points Per Game]]) * fpl_player_statistics_cleaned[[#This Row],[Form]]) / fpl_player_statistics_cleaned[[#This Row],[Now Cost]]</f>
        <v>0.1674418604651163</v>
      </c>
      <c r="AL361">
        <f>fpl_player_statistics_cleaned[[#This Row],[Minutes]] / fpl_player_statistics_cleaned[[#This Row],[Total Points]]</f>
        <v>28.166666666666668</v>
      </c>
      <c r="AM36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1.004651162790698</v>
      </c>
    </row>
    <row r="362" spans="1:39" x14ac:dyDescent="0.2">
      <c r="A362" t="s">
        <v>392</v>
      </c>
      <c r="B362" t="s">
        <v>63</v>
      </c>
      <c r="C362" t="s">
        <v>41</v>
      </c>
      <c r="D362">
        <v>4.9000000000000004</v>
      </c>
      <c r="E362">
        <v>6</v>
      </c>
      <c r="F362">
        <v>1.5</v>
      </c>
      <c r="G362">
        <v>0.1</v>
      </c>
      <c r="H362">
        <v>0</v>
      </c>
      <c r="I362">
        <v>1</v>
      </c>
      <c r="J362">
        <v>36</v>
      </c>
      <c r="K362">
        <v>0</v>
      </c>
      <c r="L362">
        <v>3</v>
      </c>
      <c r="M362">
        <v>0</v>
      </c>
      <c r="N362">
        <v>0</v>
      </c>
      <c r="O362">
        <v>3.9</v>
      </c>
      <c r="P362">
        <v>0</v>
      </c>
      <c r="Q362">
        <v>0</v>
      </c>
      <c r="R362">
        <v>0</v>
      </c>
      <c r="S362">
        <v>1.2</v>
      </c>
      <c r="T362">
        <v>0</v>
      </c>
      <c r="U362">
        <v>0</v>
      </c>
      <c r="V362">
        <v>0</v>
      </c>
      <c r="W362">
        <v>1.71</v>
      </c>
      <c r="X362">
        <v>0</v>
      </c>
      <c r="Y362" t="s">
        <v>1000</v>
      </c>
      <c r="Z362">
        <v>294</v>
      </c>
      <c r="AA362">
        <v>185</v>
      </c>
      <c r="AB362">
        <v>661</v>
      </c>
      <c r="AC362">
        <v>273</v>
      </c>
      <c r="AD362">
        <v>328</v>
      </c>
      <c r="AE362">
        <v>153</v>
      </c>
      <c r="AF362">
        <v>475</v>
      </c>
      <c r="AG362">
        <v>161</v>
      </c>
      <c r="AH362">
        <f>fpl_player_statistics_cleaned[[#This Row],[Total Points]] / fpl_player_statistics_cleaned[[#This Row],[Now Cost]]</f>
        <v>1.2244897959183672</v>
      </c>
      <c r="AI362">
        <f>fpl_player_statistics_cleaned[[#This Row],[Goals Scored]] + fpl_player_statistics_cleaned[[#This Row],[Assists]]</f>
        <v>1</v>
      </c>
      <c r="AJ362" t="e">
        <f>fpl_player_statistics_cleaned[[#This Row],[Total Points]] / fpl_player_statistics_cleaned[[#This Row],[Starts]]</f>
        <v>#DIV/0!</v>
      </c>
      <c r="AK362">
        <f>((fpl_player_statistics_cleaned[[#This Row],[Points Per Game]]) * fpl_player_statistics_cleaned[[#This Row],[Form]]) / fpl_player_statistics_cleaned[[#This Row],[Now Cost]]</f>
        <v>0</v>
      </c>
      <c r="AL362">
        <f>fpl_player_statistics_cleaned[[#This Row],[Minutes]] / fpl_player_statistics_cleaned[[#This Row],[Total Points]]</f>
        <v>6</v>
      </c>
      <c r="AM36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363" spans="1:39" x14ac:dyDescent="0.2">
      <c r="A363" t="s">
        <v>393</v>
      </c>
      <c r="B363" t="s">
        <v>100</v>
      </c>
      <c r="C363" t="s">
        <v>38</v>
      </c>
      <c r="D363">
        <v>3.9</v>
      </c>
      <c r="E363">
        <v>6</v>
      </c>
      <c r="F363">
        <v>2</v>
      </c>
      <c r="G363">
        <v>0.1</v>
      </c>
      <c r="H363">
        <v>0</v>
      </c>
      <c r="I363">
        <v>0</v>
      </c>
      <c r="J363">
        <v>261</v>
      </c>
      <c r="K363">
        <v>0</v>
      </c>
      <c r="L363">
        <v>6</v>
      </c>
      <c r="M363">
        <v>0</v>
      </c>
      <c r="N363">
        <v>0</v>
      </c>
      <c r="O363">
        <v>6.8</v>
      </c>
      <c r="P363">
        <v>1.5</v>
      </c>
      <c r="Q363">
        <v>0</v>
      </c>
      <c r="R363">
        <v>0.4</v>
      </c>
      <c r="S363">
        <v>1.5</v>
      </c>
      <c r="T363">
        <v>0</v>
      </c>
      <c r="U363">
        <v>0.01</v>
      </c>
      <c r="V363">
        <v>0.01</v>
      </c>
      <c r="W363">
        <v>5.43</v>
      </c>
      <c r="X363">
        <v>3</v>
      </c>
      <c r="Y363" t="s">
        <v>1000</v>
      </c>
      <c r="Z363">
        <v>710</v>
      </c>
      <c r="AA363">
        <v>215</v>
      </c>
      <c r="AB363">
        <v>220</v>
      </c>
      <c r="AC363">
        <v>69</v>
      </c>
      <c r="AD363">
        <v>268</v>
      </c>
      <c r="AE363">
        <v>95</v>
      </c>
      <c r="AF363">
        <v>402</v>
      </c>
      <c r="AG363">
        <v>148</v>
      </c>
      <c r="AH363">
        <f>fpl_player_statistics_cleaned[[#This Row],[Total Points]] / fpl_player_statistics_cleaned[[#This Row],[Now Cost]]</f>
        <v>1.5384615384615385</v>
      </c>
      <c r="AI363">
        <f>fpl_player_statistics_cleaned[[#This Row],[Goals Scored]] + fpl_player_statistics_cleaned[[#This Row],[Assists]]</f>
        <v>0</v>
      </c>
      <c r="AJ363">
        <f>fpl_player_statistics_cleaned[[#This Row],[Total Points]] / fpl_player_statistics_cleaned[[#This Row],[Starts]]</f>
        <v>2</v>
      </c>
      <c r="AK363">
        <f>((fpl_player_statistics_cleaned[[#This Row],[Points Per Game]]) * fpl_player_statistics_cleaned[[#This Row],[Form]]) / fpl_player_statistics_cleaned[[#This Row],[Now Cost]]</f>
        <v>0.76923076923076927</v>
      </c>
      <c r="AL363">
        <f>fpl_player_statistics_cleaned[[#This Row],[Minutes]] / fpl_player_statistics_cleaned[[#This Row],[Total Points]]</f>
        <v>43.5</v>
      </c>
      <c r="AM36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4.6153846153846159</v>
      </c>
    </row>
    <row r="364" spans="1:39" x14ac:dyDescent="0.2">
      <c r="A364" t="s">
        <v>394</v>
      </c>
      <c r="B364" t="s">
        <v>47</v>
      </c>
      <c r="C364" t="s">
        <v>35</v>
      </c>
      <c r="D364">
        <v>6.2</v>
      </c>
      <c r="E364">
        <v>6</v>
      </c>
      <c r="F364">
        <v>1.5</v>
      </c>
      <c r="G364">
        <v>1</v>
      </c>
      <c r="H364">
        <v>0</v>
      </c>
      <c r="I364">
        <v>0</v>
      </c>
      <c r="J364">
        <v>154</v>
      </c>
      <c r="K364">
        <v>1</v>
      </c>
      <c r="L364">
        <v>1</v>
      </c>
      <c r="M364">
        <v>0</v>
      </c>
      <c r="N364">
        <v>0</v>
      </c>
      <c r="O364">
        <v>6.9</v>
      </c>
      <c r="P364">
        <v>0.5</v>
      </c>
      <c r="Q364">
        <v>0</v>
      </c>
      <c r="R364">
        <v>0.1</v>
      </c>
      <c r="S364">
        <v>1</v>
      </c>
      <c r="T364">
        <v>0.34</v>
      </c>
      <c r="U364">
        <v>0.04</v>
      </c>
      <c r="V364">
        <v>0.38</v>
      </c>
      <c r="W364">
        <v>0.34</v>
      </c>
      <c r="X364">
        <v>3</v>
      </c>
      <c r="Y364" t="s">
        <v>1000</v>
      </c>
      <c r="Z364">
        <v>80</v>
      </c>
      <c r="AA364">
        <v>26</v>
      </c>
      <c r="AB364">
        <v>337</v>
      </c>
      <c r="AC364">
        <v>40</v>
      </c>
      <c r="AD364">
        <v>332</v>
      </c>
      <c r="AE364">
        <v>33</v>
      </c>
      <c r="AF364">
        <v>181</v>
      </c>
      <c r="AG364">
        <v>27</v>
      </c>
      <c r="AH364">
        <f>fpl_player_statistics_cleaned[[#This Row],[Total Points]] / fpl_player_statistics_cleaned[[#This Row],[Now Cost]]</f>
        <v>0.96774193548387089</v>
      </c>
      <c r="AI364">
        <f>fpl_player_statistics_cleaned[[#This Row],[Goals Scored]] + fpl_player_statistics_cleaned[[#This Row],[Assists]]</f>
        <v>0</v>
      </c>
      <c r="AJ364">
        <f>fpl_player_statistics_cleaned[[#This Row],[Total Points]] / fpl_player_statistics_cleaned[[#This Row],[Starts]]</f>
        <v>2</v>
      </c>
      <c r="AK364">
        <f>((fpl_player_statistics_cleaned[[#This Row],[Points Per Game]]) * fpl_player_statistics_cleaned[[#This Row],[Form]]) / fpl_player_statistics_cleaned[[#This Row],[Now Cost]]</f>
        <v>0.12096774193548386</v>
      </c>
      <c r="AL364">
        <f>fpl_player_statistics_cleaned[[#This Row],[Minutes]] / fpl_player_statistics_cleaned[[#This Row],[Total Points]]</f>
        <v>25.666666666666668</v>
      </c>
      <c r="AM36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0.72580645161290314</v>
      </c>
    </row>
    <row r="365" spans="1:39" x14ac:dyDescent="0.2">
      <c r="A365" t="s">
        <v>395</v>
      </c>
      <c r="B365" t="s">
        <v>97</v>
      </c>
      <c r="C365" t="s">
        <v>41</v>
      </c>
      <c r="D365">
        <v>5</v>
      </c>
      <c r="E365">
        <v>6</v>
      </c>
      <c r="F365">
        <v>1</v>
      </c>
      <c r="G365">
        <v>0</v>
      </c>
      <c r="H365">
        <v>0</v>
      </c>
      <c r="I365">
        <v>0</v>
      </c>
      <c r="J365">
        <v>189</v>
      </c>
      <c r="K365">
        <v>0</v>
      </c>
      <c r="L365">
        <v>4</v>
      </c>
      <c r="M365">
        <v>0</v>
      </c>
      <c r="N365">
        <v>0</v>
      </c>
      <c r="O365">
        <v>4.3</v>
      </c>
      <c r="P365">
        <v>0.5</v>
      </c>
      <c r="Q365">
        <v>0</v>
      </c>
      <c r="R365">
        <v>0.1</v>
      </c>
      <c r="S365">
        <v>1.2</v>
      </c>
      <c r="T365">
        <v>0</v>
      </c>
      <c r="U365">
        <v>0.01</v>
      </c>
      <c r="V365">
        <v>0.01</v>
      </c>
      <c r="W365">
        <v>3.86</v>
      </c>
      <c r="X365">
        <v>2</v>
      </c>
      <c r="Y365" t="s">
        <v>1000</v>
      </c>
      <c r="Z365">
        <v>283</v>
      </c>
      <c r="AA365">
        <v>177</v>
      </c>
      <c r="AB365">
        <v>324</v>
      </c>
      <c r="AC365">
        <v>162</v>
      </c>
      <c r="AD365">
        <v>409</v>
      </c>
      <c r="AE365">
        <v>193</v>
      </c>
      <c r="AF365">
        <v>692</v>
      </c>
      <c r="AG365">
        <v>297</v>
      </c>
      <c r="AH365">
        <f>fpl_player_statistics_cleaned[[#This Row],[Total Points]] / fpl_player_statistics_cleaned[[#This Row],[Now Cost]]</f>
        <v>1.2</v>
      </c>
      <c r="AI365">
        <f>fpl_player_statistics_cleaned[[#This Row],[Goals Scored]] + fpl_player_statistics_cleaned[[#This Row],[Assists]]</f>
        <v>0</v>
      </c>
      <c r="AJ365">
        <f>fpl_player_statistics_cleaned[[#This Row],[Total Points]] / fpl_player_statistics_cleaned[[#This Row],[Starts]]</f>
        <v>3</v>
      </c>
      <c r="AK365">
        <f>((fpl_player_statistics_cleaned[[#This Row],[Points Per Game]]) * fpl_player_statistics_cleaned[[#This Row],[Form]]) / fpl_player_statistics_cleaned[[#This Row],[Now Cost]]</f>
        <v>0.1</v>
      </c>
      <c r="AL365">
        <f>fpl_player_statistics_cleaned[[#This Row],[Minutes]] / fpl_player_statistics_cleaned[[#This Row],[Total Points]]</f>
        <v>31.5</v>
      </c>
      <c r="AM36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0.6</v>
      </c>
    </row>
    <row r="366" spans="1:39" x14ac:dyDescent="0.2">
      <c r="A366" t="s">
        <v>396</v>
      </c>
      <c r="B366" t="s">
        <v>51</v>
      </c>
      <c r="C366" t="s">
        <v>35</v>
      </c>
      <c r="D366">
        <v>6.9</v>
      </c>
      <c r="E366">
        <v>6</v>
      </c>
      <c r="F366">
        <v>1.5</v>
      </c>
      <c r="G366">
        <v>0.3</v>
      </c>
      <c r="H366">
        <v>0</v>
      </c>
      <c r="I366">
        <v>0</v>
      </c>
      <c r="J366">
        <v>189</v>
      </c>
      <c r="K366">
        <v>1</v>
      </c>
      <c r="L366">
        <v>2</v>
      </c>
      <c r="M366">
        <v>0</v>
      </c>
      <c r="N366">
        <v>0</v>
      </c>
      <c r="O366">
        <v>3.6</v>
      </c>
      <c r="P366">
        <v>1.5</v>
      </c>
      <c r="Q366">
        <v>0</v>
      </c>
      <c r="R366">
        <v>0.2</v>
      </c>
      <c r="S366">
        <v>0.9</v>
      </c>
      <c r="T366">
        <v>0.13</v>
      </c>
      <c r="U366">
        <v>0.05</v>
      </c>
      <c r="V366">
        <v>0.18</v>
      </c>
      <c r="W366">
        <v>3.74</v>
      </c>
      <c r="X366">
        <v>3</v>
      </c>
      <c r="Y366" t="s">
        <v>1000</v>
      </c>
      <c r="Z366">
        <v>39</v>
      </c>
      <c r="AA366">
        <v>16</v>
      </c>
      <c r="AB366">
        <v>237</v>
      </c>
      <c r="AC366">
        <v>26</v>
      </c>
      <c r="AD366">
        <v>334</v>
      </c>
      <c r="AE366">
        <v>34</v>
      </c>
      <c r="AF366">
        <v>325</v>
      </c>
      <c r="AG366">
        <v>53</v>
      </c>
      <c r="AH366">
        <f>fpl_player_statistics_cleaned[[#This Row],[Total Points]] / fpl_player_statistics_cleaned[[#This Row],[Now Cost]]</f>
        <v>0.86956521739130432</v>
      </c>
      <c r="AI366">
        <f>fpl_player_statistics_cleaned[[#This Row],[Goals Scored]] + fpl_player_statistics_cleaned[[#This Row],[Assists]]</f>
        <v>0</v>
      </c>
      <c r="AJ366">
        <f>fpl_player_statistics_cleaned[[#This Row],[Total Points]] / fpl_player_statistics_cleaned[[#This Row],[Starts]]</f>
        <v>2</v>
      </c>
      <c r="AK366">
        <f>((fpl_player_statistics_cleaned[[#This Row],[Points Per Game]]) * fpl_player_statistics_cleaned[[#This Row],[Form]]) / fpl_player_statistics_cleaned[[#This Row],[Now Cost]]</f>
        <v>0.32608695652173914</v>
      </c>
      <c r="AL366">
        <f>fpl_player_statistics_cleaned[[#This Row],[Minutes]] / fpl_player_statistics_cleaned[[#This Row],[Total Points]]</f>
        <v>31.5</v>
      </c>
      <c r="AM36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1.9565217391304348</v>
      </c>
    </row>
    <row r="367" spans="1:39" x14ac:dyDescent="0.2">
      <c r="A367" t="s">
        <v>397</v>
      </c>
      <c r="B367" t="s">
        <v>46</v>
      </c>
      <c r="C367" t="s">
        <v>38</v>
      </c>
      <c r="D367">
        <v>4.3</v>
      </c>
      <c r="E367">
        <v>6</v>
      </c>
      <c r="F367">
        <v>0.8</v>
      </c>
      <c r="G367">
        <v>0.1</v>
      </c>
      <c r="H367">
        <v>0</v>
      </c>
      <c r="I367">
        <v>0</v>
      </c>
      <c r="J367">
        <v>189</v>
      </c>
      <c r="K367">
        <v>0</v>
      </c>
      <c r="L367">
        <v>6</v>
      </c>
      <c r="M367">
        <v>0</v>
      </c>
      <c r="N367">
        <v>0</v>
      </c>
      <c r="O367">
        <v>4.5999999999999996</v>
      </c>
      <c r="P367">
        <v>0.5</v>
      </c>
      <c r="Q367">
        <v>0</v>
      </c>
      <c r="R367">
        <v>0.1</v>
      </c>
      <c r="S367">
        <v>1.4</v>
      </c>
      <c r="T367">
        <v>0.13</v>
      </c>
      <c r="U367">
        <v>0.06</v>
      </c>
      <c r="V367">
        <v>0.19</v>
      </c>
      <c r="W367">
        <v>4.99</v>
      </c>
      <c r="X367">
        <v>1</v>
      </c>
      <c r="Y367" t="s">
        <v>1000</v>
      </c>
      <c r="Z367">
        <v>581</v>
      </c>
      <c r="AA367">
        <v>140</v>
      </c>
      <c r="AB367">
        <v>307</v>
      </c>
      <c r="AC367">
        <v>101</v>
      </c>
      <c r="AD367">
        <v>436</v>
      </c>
      <c r="AE367">
        <v>147</v>
      </c>
      <c r="AF367">
        <v>453</v>
      </c>
      <c r="AG367">
        <v>165</v>
      </c>
      <c r="AH367">
        <f>fpl_player_statistics_cleaned[[#This Row],[Total Points]] / fpl_player_statistics_cleaned[[#This Row],[Now Cost]]</f>
        <v>1.3953488372093024</v>
      </c>
      <c r="AI367">
        <f>fpl_player_statistics_cleaned[[#This Row],[Goals Scored]] + fpl_player_statistics_cleaned[[#This Row],[Assists]]</f>
        <v>0</v>
      </c>
      <c r="AJ367">
        <f>fpl_player_statistics_cleaned[[#This Row],[Total Points]] / fpl_player_statistics_cleaned[[#This Row],[Starts]]</f>
        <v>6</v>
      </c>
      <c r="AK367">
        <f>((fpl_player_statistics_cleaned[[#This Row],[Points Per Game]]) * fpl_player_statistics_cleaned[[#This Row],[Form]]) / fpl_player_statistics_cleaned[[#This Row],[Now Cost]]</f>
        <v>9.3023255813953501E-2</v>
      </c>
      <c r="AL367">
        <f>fpl_player_statistics_cleaned[[#This Row],[Minutes]] / fpl_player_statistics_cleaned[[#This Row],[Total Points]]</f>
        <v>31.5</v>
      </c>
      <c r="AM36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0.55813953488372092</v>
      </c>
    </row>
    <row r="368" spans="1:39" x14ac:dyDescent="0.2">
      <c r="A368" t="s">
        <v>398</v>
      </c>
      <c r="B368" t="s">
        <v>122</v>
      </c>
      <c r="C368" t="s">
        <v>35</v>
      </c>
      <c r="D368">
        <v>6</v>
      </c>
      <c r="E368">
        <v>6</v>
      </c>
      <c r="F368">
        <v>1</v>
      </c>
      <c r="G368">
        <v>0.1</v>
      </c>
      <c r="H368">
        <v>0</v>
      </c>
      <c r="I368">
        <v>0</v>
      </c>
      <c r="J368">
        <v>66</v>
      </c>
      <c r="K368">
        <v>0</v>
      </c>
      <c r="L368">
        <v>2</v>
      </c>
      <c r="M368">
        <v>0</v>
      </c>
      <c r="N368">
        <v>0</v>
      </c>
      <c r="O368">
        <v>4.0999999999999996</v>
      </c>
      <c r="P368">
        <v>0.2</v>
      </c>
      <c r="Q368">
        <v>0</v>
      </c>
      <c r="R368">
        <v>0</v>
      </c>
      <c r="S368">
        <v>1</v>
      </c>
      <c r="T368">
        <v>0.35</v>
      </c>
      <c r="U368">
        <v>0.02</v>
      </c>
      <c r="V368">
        <v>0.37</v>
      </c>
      <c r="W368">
        <v>1.48</v>
      </c>
      <c r="X368">
        <v>0</v>
      </c>
      <c r="Y368" t="s">
        <v>1000</v>
      </c>
      <c r="Z368">
        <v>87</v>
      </c>
      <c r="AA368">
        <v>27</v>
      </c>
      <c r="AB368">
        <v>381</v>
      </c>
      <c r="AC368">
        <v>48</v>
      </c>
      <c r="AD368">
        <v>428</v>
      </c>
      <c r="AE368">
        <v>52</v>
      </c>
      <c r="AF368">
        <v>444</v>
      </c>
      <c r="AG368">
        <v>62</v>
      </c>
      <c r="AH368">
        <f>fpl_player_statistics_cleaned[[#This Row],[Total Points]] / fpl_player_statistics_cleaned[[#This Row],[Now Cost]]</f>
        <v>1</v>
      </c>
      <c r="AI368">
        <f>fpl_player_statistics_cleaned[[#This Row],[Goals Scored]] + fpl_player_statistics_cleaned[[#This Row],[Assists]]</f>
        <v>0</v>
      </c>
      <c r="AJ368" t="e">
        <f>fpl_player_statistics_cleaned[[#This Row],[Total Points]] / fpl_player_statistics_cleaned[[#This Row],[Starts]]</f>
        <v>#DIV/0!</v>
      </c>
      <c r="AK368">
        <f>((fpl_player_statistics_cleaned[[#This Row],[Points Per Game]]) * fpl_player_statistics_cleaned[[#This Row],[Form]]) / fpl_player_statistics_cleaned[[#This Row],[Now Cost]]</f>
        <v>3.3333333333333333E-2</v>
      </c>
      <c r="AL368">
        <f>fpl_player_statistics_cleaned[[#This Row],[Minutes]] / fpl_player_statistics_cleaned[[#This Row],[Total Points]]</f>
        <v>11</v>
      </c>
      <c r="AM36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0.20000000000000004</v>
      </c>
    </row>
    <row r="369" spans="1:39" x14ac:dyDescent="0.2">
      <c r="A369" t="s">
        <v>953</v>
      </c>
      <c r="B369" t="s">
        <v>153</v>
      </c>
      <c r="C369" t="s">
        <v>55</v>
      </c>
      <c r="D369">
        <v>4.3</v>
      </c>
      <c r="E369">
        <v>5</v>
      </c>
      <c r="F369">
        <v>1.2</v>
      </c>
      <c r="G369">
        <v>1.2</v>
      </c>
      <c r="H369">
        <v>0</v>
      </c>
      <c r="I369">
        <v>0</v>
      </c>
      <c r="J369">
        <v>360</v>
      </c>
      <c r="K369">
        <v>0</v>
      </c>
      <c r="L369">
        <v>11</v>
      </c>
      <c r="M369">
        <v>5</v>
      </c>
      <c r="N369">
        <v>0</v>
      </c>
      <c r="O369">
        <v>5.5</v>
      </c>
      <c r="P369">
        <v>0</v>
      </c>
      <c r="Q369">
        <v>0</v>
      </c>
      <c r="R369">
        <v>0</v>
      </c>
      <c r="S369">
        <v>1.2</v>
      </c>
      <c r="T369">
        <v>0</v>
      </c>
      <c r="U369">
        <v>0.03</v>
      </c>
      <c r="V369">
        <v>0.03</v>
      </c>
      <c r="W369">
        <v>6.17</v>
      </c>
      <c r="X369">
        <v>4</v>
      </c>
      <c r="Y369" t="s">
        <v>1000</v>
      </c>
      <c r="Z369">
        <v>578</v>
      </c>
      <c r="AA369">
        <v>34</v>
      </c>
      <c r="AB369">
        <v>513</v>
      </c>
      <c r="AC369">
        <v>71</v>
      </c>
      <c r="AD369">
        <v>358</v>
      </c>
      <c r="AE369">
        <v>27</v>
      </c>
      <c r="AF369">
        <v>167</v>
      </c>
      <c r="AG369">
        <v>23</v>
      </c>
      <c r="AH369">
        <f>fpl_player_statistics_cleaned[[#This Row],[Total Points]] / fpl_player_statistics_cleaned[[#This Row],[Now Cost]]</f>
        <v>1.1627906976744187</v>
      </c>
      <c r="AI369">
        <f>fpl_player_statistics_cleaned[[#This Row],[Goals Scored]] + fpl_player_statistics_cleaned[[#This Row],[Assists]]</f>
        <v>0</v>
      </c>
      <c r="AJ369">
        <f>fpl_player_statistics_cleaned[[#This Row],[Total Points]] / fpl_player_statistics_cleaned[[#This Row],[Starts]]</f>
        <v>1.25</v>
      </c>
      <c r="AK369">
        <f>((fpl_player_statistics_cleaned[[#This Row],[Points Per Game]]) * fpl_player_statistics_cleaned[[#This Row],[Form]]) / fpl_player_statistics_cleaned[[#This Row],[Now Cost]]</f>
        <v>0</v>
      </c>
      <c r="AL369">
        <f>fpl_player_statistics_cleaned[[#This Row],[Minutes]] / fpl_player_statistics_cleaned[[#This Row],[Total Points]]</f>
        <v>72</v>
      </c>
      <c r="AM36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370" spans="1:39" x14ac:dyDescent="0.2">
      <c r="A370" t="s">
        <v>399</v>
      </c>
      <c r="B370" t="s">
        <v>72</v>
      </c>
      <c r="C370" t="s">
        <v>41</v>
      </c>
      <c r="D370">
        <v>5.3</v>
      </c>
      <c r="E370">
        <v>5</v>
      </c>
      <c r="F370">
        <v>1</v>
      </c>
      <c r="G370">
        <v>0.2</v>
      </c>
      <c r="H370">
        <v>0</v>
      </c>
      <c r="I370">
        <v>0</v>
      </c>
      <c r="J370">
        <v>190</v>
      </c>
      <c r="K370">
        <v>0</v>
      </c>
      <c r="L370">
        <v>6</v>
      </c>
      <c r="M370">
        <v>0</v>
      </c>
      <c r="N370">
        <v>0</v>
      </c>
      <c r="O370">
        <v>12.9</v>
      </c>
      <c r="P370">
        <v>0.8</v>
      </c>
      <c r="Q370">
        <v>0</v>
      </c>
      <c r="R370">
        <v>0.2</v>
      </c>
      <c r="S370">
        <v>0.9</v>
      </c>
      <c r="T370">
        <v>0.03</v>
      </c>
      <c r="U370">
        <v>0.23</v>
      </c>
      <c r="V370">
        <v>0.26</v>
      </c>
      <c r="W370">
        <v>5.13</v>
      </c>
      <c r="X370">
        <v>1</v>
      </c>
      <c r="Y370" t="s">
        <v>1000</v>
      </c>
      <c r="Z370">
        <v>200</v>
      </c>
      <c r="AA370">
        <v>126</v>
      </c>
      <c r="AB370">
        <v>295</v>
      </c>
      <c r="AC370">
        <v>144</v>
      </c>
      <c r="AD370">
        <v>416</v>
      </c>
      <c r="AE370">
        <v>198</v>
      </c>
      <c r="AF370">
        <v>357</v>
      </c>
      <c r="AG370">
        <v>122</v>
      </c>
      <c r="AH370">
        <f>fpl_player_statistics_cleaned[[#This Row],[Total Points]] / fpl_player_statistics_cleaned[[#This Row],[Now Cost]]</f>
        <v>0.94339622641509435</v>
      </c>
      <c r="AI370">
        <f>fpl_player_statistics_cleaned[[#This Row],[Goals Scored]] + fpl_player_statistics_cleaned[[#This Row],[Assists]]</f>
        <v>0</v>
      </c>
      <c r="AJ370">
        <f>fpl_player_statistics_cleaned[[#This Row],[Total Points]] / fpl_player_statistics_cleaned[[#This Row],[Starts]]</f>
        <v>5</v>
      </c>
      <c r="AK370">
        <f>((fpl_player_statistics_cleaned[[#This Row],[Points Per Game]]) * fpl_player_statistics_cleaned[[#This Row],[Form]]) / fpl_player_statistics_cleaned[[#This Row],[Now Cost]]</f>
        <v>0.15094339622641512</v>
      </c>
      <c r="AL370">
        <f>fpl_player_statistics_cleaned[[#This Row],[Minutes]] / fpl_player_statistics_cleaned[[#This Row],[Total Points]]</f>
        <v>38</v>
      </c>
      <c r="AM37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0.75471698113207553</v>
      </c>
    </row>
    <row r="371" spans="1:39" x14ac:dyDescent="0.2">
      <c r="A371" t="s">
        <v>400</v>
      </c>
      <c r="B371" t="s">
        <v>153</v>
      </c>
      <c r="C371" t="s">
        <v>38</v>
      </c>
      <c r="D371">
        <v>3.9</v>
      </c>
      <c r="E371">
        <v>5</v>
      </c>
      <c r="F371">
        <v>1</v>
      </c>
      <c r="G371">
        <v>0.9</v>
      </c>
      <c r="H371">
        <v>0</v>
      </c>
      <c r="I371">
        <v>0</v>
      </c>
      <c r="J371">
        <v>249</v>
      </c>
      <c r="K371">
        <v>0</v>
      </c>
      <c r="L371">
        <v>8</v>
      </c>
      <c r="M371">
        <v>0</v>
      </c>
      <c r="N371">
        <v>0</v>
      </c>
      <c r="O371">
        <v>13.1</v>
      </c>
      <c r="P371">
        <v>0.8</v>
      </c>
      <c r="Q371">
        <v>0</v>
      </c>
      <c r="R371">
        <v>0.2</v>
      </c>
      <c r="S371">
        <v>1.3</v>
      </c>
      <c r="T371">
        <v>0.02</v>
      </c>
      <c r="U371">
        <v>0.31</v>
      </c>
      <c r="V371">
        <v>0.33</v>
      </c>
      <c r="W371">
        <v>4.2</v>
      </c>
      <c r="X371">
        <v>4</v>
      </c>
      <c r="Y371" t="s">
        <v>1000</v>
      </c>
      <c r="Z371">
        <v>714</v>
      </c>
      <c r="AA371">
        <v>219</v>
      </c>
      <c r="AB371">
        <v>283</v>
      </c>
      <c r="AC371">
        <v>93</v>
      </c>
      <c r="AD371">
        <v>372</v>
      </c>
      <c r="AE371">
        <v>130</v>
      </c>
      <c r="AF371">
        <v>187</v>
      </c>
      <c r="AG371">
        <v>70</v>
      </c>
      <c r="AH371">
        <f>fpl_player_statistics_cleaned[[#This Row],[Total Points]] / fpl_player_statistics_cleaned[[#This Row],[Now Cost]]</f>
        <v>1.2820512820512822</v>
      </c>
      <c r="AI371">
        <f>fpl_player_statistics_cleaned[[#This Row],[Goals Scored]] + fpl_player_statistics_cleaned[[#This Row],[Assists]]</f>
        <v>0</v>
      </c>
      <c r="AJ371">
        <f>fpl_player_statistics_cleaned[[#This Row],[Total Points]] / fpl_player_statistics_cleaned[[#This Row],[Starts]]</f>
        <v>1.25</v>
      </c>
      <c r="AK371">
        <f>((fpl_player_statistics_cleaned[[#This Row],[Points Per Game]]) * fpl_player_statistics_cleaned[[#This Row],[Form]]) / fpl_player_statistics_cleaned[[#This Row],[Now Cost]]</f>
        <v>0.20512820512820515</v>
      </c>
      <c r="AL371">
        <f>fpl_player_statistics_cleaned[[#This Row],[Minutes]] / fpl_player_statistics_cleaned[[#This Row],[Total Points]]</f>
        <v>49.8</v>
      </c>
      <c r="AM37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1.0256410256410258</v>
      </c>
    </row>
    <row r="372" spans="1:39" x14ac:dyDescent="0.2">
      <c r="A372" t="s">
        <v>401</v>
      </c>
      <c r="B372" t="s">
        <v>65</v>
      </c>
      <c r="C372" t="s">
        <v>35</v>
      </c>
      <c r="D372">
        <v>5.2</v>
      </c>
      <c r="E372">
        <v>5</v>
      </c>
      <c r="F372">
        <v>1</v>
      </c>
      <c r="G372">
        <v>0.1</v>
      </c>
      <c r="H372">
        <v>0</v>
      </c>
      <c r="I372">
        <v>0</v>
      </c>
      <c r="J372">
        <v>75</v>
      </c>
      <c r="K372">
        <v>0</v>
      </c>
      <c r="L372">
        <v>6</v>
      </c>
      <c r="M372">
        <v>0</v>
      </c>
      <c r="N372">
        <v>0</v>
      </c>
      <c r="O372">
        <v>2.2000000000000002</v>
      </c>
      <c r="P372">
        <v>0.5</v>
      </c>
      <c r="Q372">
        <v>0</v>
      </c>
      <c r="R372">
        <v>0.1</v>
      </c>
      <c r="S372">
        <v>1</v>
      </c>
      <c r="T372">
        <v>0</v>
      </c>
      <c r="U372">
        <v>0</v>
      </c>
      <c r="V372">
        <v>0</v>
      </c>
      <c r="W372">
        <v>3.96</v>
      </c>
      <c r="X372">
        <v>0</v>
      </c>
      <c r="Y372" t="s">
        <v>1000</v>
      </c>
      <c r="Z372">
        <v>221</v>
      </c>
      <c r="AA372">
        <v>47</v>
      </c>
      <c r="AB372">
        <v>326</v>
      </c>
      <c r="AC372">
        <v>36</v>
      </c>
      <c r="AD372">
        <v>413</v>
      </c>
      <c r="AE372">
        <v>48</v>
      </c>
      <c r="AF372">
        <v>433</v>
      </c>
      <c r="AG372">
        <v>60</v>
      </c>
      <c r="AH372">
        <f>fpl_player_statistics_cleaned[[#This Row],[Total Points]] / fpl_player_statistics_cleaned[[#This Row],[Now Cost]]</f>
        <v>0.96153846153846145</v>
      </c>
      <c r="AI372">
        <f>fpl_player_statistics_cleaned[[#This Row],[Goals Scored]] + fpl_player_statistics_cleaned[[#This Row],[Assists]]</f>
        <v>0</v>
      </c>
      <c r="AJ372" t="e">
        <f>fpl_player_statistics_cleaned[[#This Row],[Total Points]] / fpl_player_statistics_cleaned[[#This Row],[Starts]]</f>
        <v>#DIV/0!</v>
      </c>
      <c r="AK372">
        <f>((fpl_player_statistics_cleaned[[#This Row],[Points Per Game]]) * fpl_player_statistics_cleaned[[#This Row],[Form]]) / fpl_player_statistics_cleaned[[#This Row],[Now Cost]]</f>
        <v>9.6153846153846145E-2</v>
      </c>
      <c r="AL372">
        <f>fpl_player_statistics_cleaned[[#This Row],[Minutes]] / fpl_player_statistics_cleaned[[#This Row],[Total Points]]</f>
        <v>15</v>
      </c>
      <c r="AM37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0.48076923076923073</v>
      </c>
    </row>
    <row r="373" spans="1:39" hidden="1" x14ac:dyDescent="0.2">
      <c r="A373" t="s">
        <v>402</v>
      </c>
      <c r="B373" t="s">
        <v>122</v>
      </c>
      <c r="C373" t="s">
        <v>38</v>
      </c>
      <c r="D373">
        <v>4.9000000000000004</v>
      </c>
      <c r="E373">
        <v>5</v>
      </c>
      <c r="F373">
        <v>1.7</v>
      </c>
      <c r="G373">
        <v>0.2</v>
      </c>
      <c r="H373">
        <v>0</v>
      </c>
      <c r="I373">
        <v>0</v>
      </c>
      <c r="J373">
        <v>253</v>
      </c>
      <c r="K373">
        <v>0</v>
      </c>
      <c r="L373">
        <v>4</v>
      </c>
      <c r="M373">
        <v>0</v>
      </c>
      <c r="N373">
        <v>0</v>
      </c>
      <c r="O373">
        <v>13</v>
      </c>
      <c r="P373">
        <v>0.2</v>
      </c>
      <c r="Q373">
        <v>0</v>
      </c>
      <c r="R373">
        <v>0</v>
      </c>
      <c r="S373">
        <v>1</v>
      </c>
      <c r="T373">
        <v>0.04</v>
      </c>
      <c r="U373">
        <v>0.3</v>
      </c>
      <c r="V373">
        <v>0.34</v>
      </c>
      <c r="W373">
        <v>3.45</v>
      </c>
      <c r="X373">
        <v>3</v>
      </c>
      <c r="Y373" t="s">
        <v>403</v>
      </c>
      <c r="Z373">
        <v>303</v>
      </c>
      <c r="AA373">
        <v>47</v>
      </c>
      <c r="AB373">
        <v>366</v>
      </c>
      <c r="AC373">
        <v>129</v>
      </c>
      <c r="AD373">
        <v>310</v>
      </c>
      <c r="AE373">
        <v>111</v>
      </c>
      <c r="AF373">
        <v>340</v>
      </c>
      <c r="AG373">
        <v>120</v>
      </c>
      <c r="AI373">
        <v>0.25641025641025644</v>
      </c>
    </row>
    <row r="374" spans="1:39" x14ac:dyDescent="0.2">
      <c r="A374" t="s">
        <v>404</v>
      </c>
      <c r="B374" t="s">
        <v>37</v>
      </c>
      <c r="C374" t="s">
        <v>41</v>
      </c>
      <c r="D374">
        <v>4.3</v>
      </c>
      <c r="E374">
        <v>5</v>
      </c>
      <c r="F374">
        <v>2.5</v>
      </c>
      <c r="G374">
        <v>0.4</v>
      </c>
      <c r="H374">
        <v>0</v>
      </c>
      <c r="I374">
        <v>1</v>
      </c>
      <c r="J374">
        <v>27</v>
      </c>
      <c r="K374">
        <v>0</v>
      </c>
      <c r="L374">
        <v>0</v>
      </c>
      <c r="M374">
        <v>0</v>
      </c>
      <c r="N374">
        <v>0</v>
      </c>
      <c r="O374">
        <v>2.8</v>
      </c>
      <c r="P374">
        <v>0</v>
      </c>
      <c r="Q374">
        <v>0</v>
      </c>
      <c r="R374">
        <v>0</v>
      </c>
      <c r="S374">
        <v>1.2</v>
      </c>
      <c r="T374">
        <v>0.14000000000000001</v>
      </c>
      <c r="U374">
        <v>0.02</v>
      </c>
      <c r="V374">
        <v>0.16</v>
      </c>
      <c r="W374">
        <v>0.12</v>
      </c>
      <c r="X374">
        <v>0</v>
      </c>
      <c r="Y374" t="s">
        <v>1000</v>
      </c>
      <c r="Z374">
        <v>609</v>
      </c>
      <c r="AA374">
        <v>334</v>
      </c>
      <c r="AB374">
        <v>528</v>
      </c>
      <c r="AC374">
        <v>187</v>
      </c>
      <c r="AD374">
        <v>204</v>
      </c>
      <c r="AE374">
        <v>93</v>
      </c>
      <c r="AF374">
        <v>277</v>
      </c>
      <c r="AG374">
        <v>97</v>
      </c>
      <c r="AH374">
        <f>fpl_player_statistics_cleaned[[#This Row],[Total Points]] / fpl_player_statistics_cleaned[[#This Row],[Now Cost]]</f>
        <v>1.1627906976744187</v>
      </c>
      <c r="AI374">
        <f>fpl_player_statistics_cleaned[[#This Row],[Goals Scored]] + fpl_player_statistics_cleaned[[#This Row],[Assists]]</f>
        <v>1</v>
      </c>
      <c r="AJ374" t="e">
        <f>fpl_player_statistics_cleaned[[#This Row],[Total Points]] / fpl_player_statistics_cleaned[[#This Row],[Starts]]</f>
        <v>#DIV/0!</v>
      </c>
      <c r="AK374">
        <f>((fpl_player_statistics_cleaned[[#This Row],[Points Per Game]]) * fpl_player_statistics_cleaned[[#This Row],[Form]]) / fpl_player_statistics_cleaned[[#This Row],[Now Cost]]</f>
        <v>0</v>
      </c>
      <c r="AL374">
        <f>fpl_player_statistics_cleaned[[#This Row],[Minutes]] / fpl_player_statistics_cleaned[[#This Row],[Total Points]]</f>
        <v>5.4</v>
      </c>
      <c r="AM37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375" spans="1:39" x14ac:dyDescent="0.2">
      <c r="A375" t="s">
        <v>405</v>
      </c>
      <c r="B375" t="s">
        <v>40</v>
      </c>
      <c r="C375" t="s">
        <v>41</v>
      </c>
      <c r="D375">
        <v>4.9000000000000004</v>
      </c>
      <c r="E375">
        <v>5</v>
      </c>
      <c r="F375">
        <v>1</v>
      </c>
      <c r="G375">
        <v>0</v>
      </c>
      <c r="H375">
        <v>0</v>
      </c>
      <c r="I375">
        <v>0</v>
      </c>
      <c r="J375">
        <v>79</v>
      </c>
      <c r="K375">
        <v>0</v>
      </c>
      <c r="L375">
        <v>3</v>
      </c>
      <c r="M375">
        <v>0</v>
      </c>
      <c r="N375">
        <v>0</v>
      </c>
      <c r="O375">
        <v>3.1</v>
      </c>
      <c r="P375">
        <v>1</v>
      </c>
      <c r="Q375">
        <v>0</v>
      </c>
      <c r="R375">
        <v>0.2</v>
      </c>
      <c r="S375">
        <v>1</v>
      </c>
      <c r="T375">
        <v>0.02</v>
      </c>
      <c r="U375">
        <v>0.02</v>
      </c>
      <c r="V375">
        <v>0.04</v>
      </c>
      <c r="W375">
        <v>2.61</v>
      </c>
      <c r="X375">
        <v>0</v>
      </c>
      <c r="Y375" t="s">
        <v>1000</v>
      </c>
      <c r="Z375">
        <v>293</v>
      </c>
      <c r="AA375">
        <v>184</v>
      </c>
      <c r="AB375">
        <v>270</v>
      </c>
      <c r="AC375">
        <v>130</v>
      </c>
      <c r="AD375">
        <v>399</v>
      </c>
      <c r="AE375">
        <v>187</v>
      </c>
      <c r="AF375">
        <v>639</v>
      </c>
      <c r="AG375">
        <v>261</v>
      </c>
      <c r="AH375">
        <f>fpl_player_statistics_cleaned[[#This Row],[Total Points]] / fpl_player_statistics_cleaned[[#This Row],[Now Cost]]</f>
        <v>1.0204081632653061</v>
      </c>
      <c r="AI375">
        <f>fpl_player_statistics_cleaned[[#This Row],[Goals Scored]] + fpl_player_statistics_cleaned[[#This Row],[Assists]]</f>
        <v>0</v>
      </c>
      <c r="AJ375" t="e">
        <f>fpl_player_statistics_cleaned[[#This Row],[Total Points]] / fpl_player_statistics_cleaned[[#This Row],[Starts]]</f>
        <v>#DIV/0!</v>
      </c>
      <c r="AK375">
        <f>((fpl_player_statistics_cleaned[[#This Row],[Points Per Game]]) * fpl_player_statistics_cleaned[[#This Row],[Form]]) / fpl_player_statistics_cleaned[[#This Row],[Now Cost]]</f>
        <v>0.2040816326530612</v>
      </c>
      <c r="AL375">
        <f>fpl_player_statistics_cleaned[[#This Row],[Minutes]] / fpl_player_statistics_cleaned[[#This Row],[Total Points]]</f>
        <v>15.8</v>
      </c>
      <c r="AM37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1.0204081632653061</v>
      </c>
    </row>
    <row r="376" spans="1:39" hidden="1" x14ac:dyDescent="0.2">
      <c r="A376" t="s">
        <v>406</v>
      </c>
      <c r="B376" t="s">
        <v>122</v>
      </c>
      <c r="C376" t="s">
        <v>41</v>
      </c>
      <c r="D376">
        <v>6</v>
      </c>
      <c r="E376">
        <v>5</v>
      </c>
      <c r="F376">
        <v>1.2</v>
      </c>
      <c r="G376">
        <v>0</v>
      </c>
      <c r="H376">
        <v>0</v>
      </c>
      <c r="I376">
        <v>0</v>
      </c>
      <c r="J376">
        <v>172</v>
      </c>
      <c r="K376">
        <v>0</v>
      </c>
      <c r="L376">
        <v>4</v>
      </c>
      <c r="M376">
        <v>0</v>
      </c>
      <c r="N376">
        <v>0</v>
      </c>
      <c r="O376">
        <v>15.3</v>
      </c>
      <c r="P376">
        <v>0</v>
      </c>
      <c r="Q376">
        <v>0</v>
      </c>
      <c r="R376">
        <v>0</v>
      </c>
      <c r="S376">
        <v>0.8</v>
      </c>
      <c r="T376">
        <v>0.13</v>
      </c>
      <c r="U376">
        <v>0.27</v>
      </c>
      <c r="V376">
        <v>0.4</v>
      </c>
      <c r="W376">
        <v>3.23</v>
      </c>
      <c r="X376">
        <v>2</v>
      </c>
      <c r="Y376" t="s">
        <v>407</v>
      </c>
      <c r="Z376">
        <v>88</v>
      </c>
      <c r="AA376">
        <v>57</v>
      </c>
      <c r="AB376">
        <v>733</v>
      </c>
      <c r="AC376">
        <v>324</v>
      </c>
      <c r="AD376">
        <v>364</v>
      </c>
      <c r="AE376">
        <v>172</v>
      </c>
      <c r="AF376">
        <v>686</v>
      </c>
      <c r="AG376">
        <v>293</v>
      </c>
      <c r="AI376">
        <v>0.22222222222222221</v>
      </c>
    </row>
    <row r="377" spans="1:39" x14ac:dyDescent="0.2">
      <c r="A377" t="s">
        <v>408</v>
      </c>
      <c r="B377" t="s">
        <v>72</v>
      </c>
      <c r="C377" t="s">
        <v>41</v>
      </c>
      <c r="D377">
        <v>5</v>
      </c>
      <c r="E377">
        <v>5</v>
      </c>
      <c r="F377">
        <v>1.7</v>
      </c>
      <c r="G377">
        <v>0.1</v>
      </c>
      <c r="H377">
        <v>0</v>
      </c>
      <c r="I377">
        <v>0</v>
      </c>
      <c r="J377">
        <v>99</v>
      </c>
      <c r="K377">
        <v>1</v>
      </c>
      <c r="L377">
        <v>2</v>
      </c>
      <c r="M377">
        <v>0</v>
      </c>
      <c r="N377">
        <v>0</v>
      </c>
      <c r="O377">
        <v>1.9</v>
      </c>
      <c r="P377">
        <v>0.2</v>
      </c>
      <c r="Q377">
        <v>0</v>
      </c>
      <c r="R377">
        <v>0</v>
      </c>
      <c r="S377">
        <v>1</v>
      </c>
      <c r="T377">
        <v>0.09</v>
      </c>
      <c r="U377">
        <v>0.02</v>
      </c>
      <c r="V377">
        <v>0.11</v>
      </c>
      <c r="W377">
        <v>2.34</v>
      </c>
      <c r="X377">
        <v>1</v>
      </c>
      <c r="Y377" t="s">
        <v>1000</v>
      </c>
      <c r="Z377">
        <v>251</v>
      </c>
      <c r="AA377">
        <v>155</v>
      </c>
      <c r="AB377">
        <v>371</v>
      </c>
      <c r="AC377">
        <v>176</v>
      </c>
      <c r="AD377">
        <v>311</v>
      </c>
      <c r="AE377">
        <v>144</v>
      </c>
      <c r="AF377">
        <v>535</v>
      </c>
      <c r="AG377">
        <v>194</v>
      </c>
      <c r="AH377">
        <f>fpl_player_statistics_cleaned[[#This Row],[Total Points]] / fpl_player_statistics_cleaned[[#This Row],[Now Cost]]</f>
        <v>1</v>
      </c>
      <c r="AI377">
        <f>fpl_player_statistics_cleaned[[#This Row],[Goals Scored]] + fpl_player_statistics_cleaned[[#This Row],[Assists]]</f>
        <v>0</v>
      </c>
      <c r="AJ377">
        <f>fpl_player_statistics_cleaned[[#This Row],[Total Points]] / fpl_player_statistics_cleaned[[#This Row],[Starts]]</f>
        <v>5</v>
      </c>
      <c r="AK377">
        <f>((fpl_player_statistics_cleaned[[#This Row],[Points Per Game]]) * fpl_player_statistics_cleaned[[#This Row],[Form]]) / fpl_player_statistics_cleaned[[#This Row],[Now Cost]]</f>
        <v>6.8000000000000005E-2</v>
      </c>
      <c r="AL377">
        <f>fpl_player_statistics_cleaned[[#This Row],[Minutes]] / fpl_player_statistics_cleaned[[#This Row],[Total Points]]</f>
        <v>19.8</v>
      </c>
      <c r="AM37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0.34</v>
      </c>
    </row>
    <row r="378" spans="1:39" x14ac:dyDescent="0.2">
      <c r="A378" t="s">
        <v>409</v>
      </c>
      <c r="B378" t="s">
        <v>47</v>
      </c>
      <c r="C378" t="s">
        <v>41</v>
      </c>
      <c r="D378">
        <v>4.9000000000000004</v>
      </c>
      <c r="E378">
        <v>4</v>
      </c>
      <c r="F378">
        <v>1</v>
      </c>
      <c r="G378">
        <v>0.1</v>
      </c>
      <c r="H378">
        <v>0</v>
      </c>
      <c r="I378">
        <v>0</v>
      </c>
      <c r="J378">
        <v>142</v>
      </c>
      <c r="K378">
        <v>1</v>
      </c>
      <c r="L378">
        <v>2</v>
      </c>
      <c r="M378">
        <v>0</v>
      </c>
      <c r="N378">
        <v>0</v>
      </c>
      <c r="O378">
        <v>7.1</v>
      </c>
      <c r="P378">
        <v>0.2</v>
      </c>
      <c r="Q378">
        <v>0</v>
      </c>
      <c r="R378">
        <v>0</v>
      </c>
      <c r="S378">
        <v>0.8</v>
      </c>
      <c r="T378">
        <v>0.32</v>
      </c>
      <c r="U378">
        <v>0.08</v>
      </c>
      <c r="V378">
        <v>0.4</v>
      </c>
      <c r="W378">
        <v>1.65</v>
      </c>
      <c r="X378">
        <v>0</v>
      </c>
      <c r="Y378" t="s">
        <v>1000</v>
      </c>
      <c r="Z378">
        <v>343</v>
      </c>
      <c r="AA378">
        <v>217</v>
      </c>
      <c r="AB378">
        <v>370</v>
      </c>
      <c r="AC378">
        <v>175</v>
      </c>
      <c r="AD378">
        <v>405</v>
      </c>
      <c r="AE378">
        <v>190</v>
      </c>
      <c r="AF378">
        <v>546</v>
      </c>
      <c r="AG378">
        <v>200</v>
      </c>
      <c r="AH378">
        <f>fpl_player_statistics_cleaned[[#This Row],[Total Points]] / fpl_player_statistics_cleaned[[#This Row],[Now Cost]]</f>
        <v>0.81632653061224481</v>
      </c>
      <c r="AI378">
        <f>fpl_player_statistics_cleaned[[#This Row],[Goals Scored]] + fpl_player_statistics_cleaned[[#This Row],[Assists]]</f>
        <v>0</v>
      </c>
      <c r="AJ378" t="e">
        <f>fpl_player_statistics_cleaned[[#This Row],[Total Points]] / fpl_player_statistics_cleaned[[#This Row],[Starts]]</f>
        <v>#DIV/0!</v>
      </c>
      <c r="AK378">
        <f>((fpl_player_statistics_cleaned[[#This Row],[Points Per Game]]) * fpl_player_statistics_cleaned[[#This Row],[Form]]) / fpl_player_statistics_cleaned[[#This Row],[Now Cost]]</f>
        <v>4.0816326530612242E-2</v>
      </c>
      <c r="AL378">
        <f>fpl_player_statistics_cleaned[[#This Row],[Minutes]] / fpl_player_statistics_cleaned[[#This Row],[Total Points]]</f>
        <v>35.5</v>
      </c>
      <c r="AM37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0.16326530612244897</v>
      </c>
    </row>
    <row r="379" spans="1:39" x14ac:dyDescent="0.2">
      <c r="A379" t="s">
        <v>410</v>
      </c>
      <c r="B379" t="s">
        <v>49</v>
      </c>
      <c r="C379" t="s">
        <v>35</v>
      </c>
      <c r="D379">
        <v>5.8</v>
      </c>
      <c r="E379">
        <v>4</v>
      </c>
      <c r="F379">
        <v>1</v>
      </c>
      <c r="G379">
        <v>0.4</v>
      </c>
      <c r="H379">
        <v>0</v>
      </c>
      <c r="I379">
        <v>0</v>
      </c>
      <c r="J379">
        <v>82</v>
      </c>
      <c r="K379">
        <v>0</v>
      </c>
      <c r="L379">
        <v>4</v>
      </c>
      <c r="M379">
        <v>0</v>
      </c>
      <c r="N379">
        <v>0</v>
      </c>
      <c r="O379">
        <v>8.9</v>
      </c>
      <c r="P379">
        <v>0.2</v>
      </c>
      <c r="Q379">
        <v>0</v>
      </c>
      <c r="R379">
        <v>0</v>
      </c>
      <c r="S379">
        <v>0.7</v>
      </c>
      <c r="T379">
        <v>0.79</v>
      </c>
      <c r="U379">
        <v>0.03</v>
      </c>
      <c r="V379">
        <v>0.82</v>
      </c>
      <c r="W379">
        <v>1.8</v>
      </c>
      <c r="X379">
        <v>0</v>
      </c>
      <c r="Y379" t="s">
        <v>1000</v>
      </c>
      <c r="Z379">
        <v>113</v>
      </c>
      <c r="AA379">
        <v>29</v>
      </c>
      <c r="AB379">
        <v>379</v>
      </c>
      <c r="AC379">
        <v>47</v>
      </c>
      <c r="AD379">
        <v>426</v>
      </c>
      <c r="AE379">
        <v>51</v>
      </c>
      <c r="AF379">
        <v>281</v>
      </c>
      <c r="AG379">
        <v>43</v>
      </c>
      <c r="AH379">
        <f>fpl_player_statistics_cleaned[[#This Row],[Total Points]] / fpl_player_statistics_cleaned[[#This Row],[Now Cost]]</f>
        <v>0.68965517241379315</v>
      </c>
      <c r="AI379">
        <f>fpl_player_statistics_cleaned[[#This Row],[Goals Scored]] + fpl_player_statistics_cleaned[[#This Row],[Assists]]</f>
        <v>0</v>
      </c>
      <c r="AJ379" t="e">
        <f>fpl_player_statistics_cleaned[[#This Row],[Total Points]] / fpl_player_statistics_cleaned[[#This Row],[Starts]]</f>
        <v>#DIV/0!</v>
      </c>
      <c r="AK379">
        <f>((fpl_player_statistics_cleaned[[#This Row],[Points Per Game]]) * fpl_player_statistics_cleaned[[#This Row],[Form]]) / fpl_player_statistics_cleaned[[#This Row],[Now Cost]]</f>
        <v>3.4482758620689655E-2</v>
      </c>
      <c r="AL379">
        <f>fpl_player_statistics_cleaned[[#This Row],[Minutes]] / fpl_player_statistics_cleaned[[#This Row],[Total Points]]</f>
        <v>20.5</v>
      </c>
      <c r="AM37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0.13793103448275862</v>
      </c>
    </row>
    <row r="380" spans="1:39" x14ac:dyDescent="0.2">
      <c r="A380" t="s">
        <v>411</v>
      </c>
      <c r="B380" t="s">
        <v>122</v>
      </c>
      <c r="C380" t="s">
        <v>35</v>
      </c>
      <c r="D380">
        <v>5.2</v>
      </c>
      <c r="E380">
        <v>4</v>
      </c>
      <c r="F380">
        <v>1</v>
      </c>
      <c r="G380">
        <v>0.4</v>
      </c>
      <c r="H380">
        <v>0</v>
      </c>
      <c r="I380">
        <v>0</v>
      </c>
      <c r="J380">
        <v>133</v>
      </c>
      <c r="K380">
        <v>0</v>
      </c>
      <c r="L380">
        <v>1</v>
      </c>
      <c r="M380">
        <v>0</v>
      </c>
      <c r="N380">
        <v>0</v>
      </c>
      <c r="O380">
        <v>7.7</v>
      </c>
      <c r="P380">
        <v>1</v>
      </c>
      <c r="Q380">
        <v>0</v>
      </c>
      <c r="R380">
        <v>0.2</v>
      </c>
      <c r="S380">
        <v>0.8</v>
      </c>
      <c r="T380">
        <v>0.19</v>
      </c>
      <c r="U380">
        <v>0.02</v>
      </c>
      <c r="V380">
        <v>0.21</v>
      </c>
      <c r="W380">
        <v>1.59</v>
      </c>
      <c r="X380">
        <v>1</v>
      </c>
      <c r="Y380" t="s">
        <v>1000</v>
      </c>
      <c r="Z380">
        <v>216</v>
      </c>
      <c r="AA380">
        <v>46</v>
      </c>
      <c r="AB380">
        <v>272</v>
      </c>
      <c r="AC380">
        <v>30</v>
      </c>
      <c r="AD380">
        <v>412</v>
      </c>
      <c r="AE380">
        <v>47</v>
      </c>
      <c r="AF380">
        <v>280</v>
      </c>
      <c r="AG380">
        <v>42</v>
      </c>
      <c r="AH380">
        <f>fpl_player_statistics_cleaned[[#This Row],[Total Points]] / fpl_player_statistics_cleaned[[#This Row],[Now Cost]]</f>
        <v>0.76923076923076916</v>
      </c>
      <c r="AI380">
        <f>fpl_player_statistics_cleaned[[#This Row],[Goals Scored]] + fpl_player_statistics_cleaned[[#This Row],[Assists]]</f>
        <v>0</v>
      </c>
      <c r="AJ380">
        <f>fpl_player_statistics_cleaned[[#This Row],[Total Points]] / fpl_player_statistics_cleaned[[#This Row],[Starts]]</f>
        <v>4</v>
      </c>
      <c r="AK380">
        <f>((fpl_player_statistics_cleaned[[#This Row],[Points Per Game]]) * fpl_player_statistics_cleaned[[#This Row],[Form]]) / fpl_player_statistics_cleaned[[#This Row],[Now Cost]]</f>
        <v>0.19230769230769229</v>
      </c>
      <c r="AL380">
        <f>fpl_player_statistics_cleaned[[#This Row],[Minutes]] / fpl_player_statistics_cleaned[[#This Row],[Total Points]]</f>
        <v>33.25</v>
      </c>
      <c r="AM38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0.76923076923076916</v>
      </c>
    </row>
    <row r="381" spans="1:39" hidden="1" x14ac:dyDescent="0.2">
      <c r="A381" t="s">
        <v>412</v>
      </c>
      <c r="B381" t="s">
        <v>81</v>
      </c>
      <c r="C381" t="s">
        <v>41</v>
      </c>
      <c r="D381">
        <v>5.0999999999999996</v>
      </c>
      <c r="E381">
        <v>4</v>
      </c>
      <c r="F381">
        <v>1.3</v>
      </c>
      <c r="G381">
        <v>0</v>
      </c>
      <c r="H381">
        <v>0</v>
      </c>
      <c r="I381">
        <v>0</v>
      </c>
      <c r="J381">
        <v>107</v>
      </c>
      <c r="K381">
        <v>0</v>
      </c>
      <c r="L381">
        <v>2</v>
      </c>
      <c r="M381">
        <v>0</v>
      </c>
      <c r="N381">
        <v>0</v>
      </c>
      <c r="O381">
        <v>1.2</v>
      </c>
      <c r="P381">
        <v>0</v>
      </c>
      <c r="Q381">
        <v>0</v>
      </c>
      <c r="R381">
        <v>0</v>
      </c>
      <c r="S381">
        <v>0.8</v>
      </c>
      <c r="T381">
        <v>0</v>
      </c>
      <c r="U381">
        <v>0.01</v>
      </c>
      <c r="V381">
        <v>0.01</v>
      </c>
      <c r="W381">
        <v>2.3199999999999998</v>
      </c>
      <c r="X381">
        <v>2</v>
      </c>
      <c r="Y381" t="s">
        <v>267</v>
      </c>
      <c r="Z381">
        <v>236</v>
      </c>
      <c r="AA381">
        <v>147</v>
      </c>
      <c r="AB381">
        <v>698</v>
      </c>
      <c r="AC381">
        <v>299</v>
      </c>
      <c r="AD381">
        <v>354</v>
      </c>
      <c r="AE381">
        <v>168</v>
      </c>
      <c r="AF381">
        <v>633</v>
      </c>
      <c r="AG381">
        <v>259</v>
      </c>
      <c r="AI381">
        <v>0.18518518518518517</v>
      </c>
    </row>
    <row r="382" spans="1:39" hidden="1" x14ac:dyDescent="0.2">
      <c r="A382" t="s">
        <v>413</v>
      </c>
      <c r="B382" t="s">
        <v>51</v>
      </c>
      <c r="C382" t="s">
        <v>41</v>
      </c>
      <c r="D382">
        <v>4.8</v>
      </c>
      <c r="E382">
        <v>4</v>
      </c>
      <c r="F382">
        <v>2</v>
      </c>
      <c r="G382">
        <v>0.1</v>
      </c>
      <c r="H382">
        <v>0</v>
      </c>
      <c r="I382">
        <v>0</v>
      </c>
      <c r="J382">
        <v>71</v>
      </c>
      <c r="K382">
        <v>1</v>
      </c>
      <c r="L382">
        <v>0</v>
      </c>
      <c r="M382">
        <v>0</v>
      </c>
      <c r="N382">
        <v>0</v>
      </c>
      <c r="O382">
        <v>2.2000000000000002</v>
      </c>
      <c r="P382">
        <v>0</v>
      </c>
      <c r="Q382">
        <v>0</v>
      </c>
      <c r="R382">
        <v>0</v>
      </c>
      <c r="S382">
        <v>0.8</v>
      </c>
      <c r="T382">
        <v>0</v>
      </c>
      <c r="U382">
        <v>0.05</v>
      </c>
      <c r="V382">
        <v>0.05</v>
      </c>
      <c r="W382">
        <v>0.89</v>
      </c>
      <c r="X382">
        <v>1</v>
      </c>
      <c r="Y382" t="s">
        <v>414</v>
      </c>
      <c r="Z382">
        <v>373</v>
      </c>
      <c r="AA382">
        <v>234</v>
      </c>
      <c r="AB382">
        <v>657</v>
      </c>
      <c r="AC382">
        <v>270</v>
      </c>
      <c r="AD382">
        <v>275</v>
      </c>
      <c r="AE382">
        <v>124</v>
      </c>
      <c r="AF382">
        <v>467</v>
      </c>
      <c r="AG382">
        <v>157</v>
      </c>
      <c r="AI382">
        <v>0.20833333333333334</v>
      </c>
    </row>
    <row r="383" spans="1:39" hidden="1" x14ac:dyDescent="0.2">
      <c r="A383" t="s">
        <v>954</v>
      </c>
      <c r="B383" t="s">
        <v>40</v>
      </c>
      <c r="C383" t="s">
        <v>41</v>
      </c>
      <c r="D383">
        <v>4.5</v>
      </c>
      <c r="E383">
        <v>4</v>
      </c>
      <c r="F383">
        <v>4</v>
      </c>
      <c r="G383">
        <v>0.4</v>
      </c>
      <c r="H383">
        <v>0</v>
      </c>
      <c r="I383">
        <v>1</v>
      </c>
      <c r="J383">
        <v>16</v>
      </c>
      <c r="K383">
        <v>0</v>
      </c>
      <c r="L383">
        <v>2</v>
      </c>
      <c r="M383">
        <v>0</v>
      </c>
      <c r="N383">
        <v>0</v>
      </c>
      <c r="O383">
        <v>3.1</v>
      </c>
      <c r="P383">
        <v>0</v>
      </c>
      <c r="Q383">
        <v>0</v>
      </c>
      <c r="R383">
        <v>0</v>
      </c>
      <c r="S383">
        <v>0.9</v>
      </c>
      <c r="T383">
        <v>0</v>
      </c>
      <c r="U383">
        <v>0</v>
      </c>
      <c r="V383">
        <v>0</v>
      </c>
      <c r="W383">
        <v>0.4</v>
      </c>
      <c r="X383">
        <v>0</v>
      </c>
      <c r="Y383" t="s">
        <v>319</v>
      </c>
      <c r="Z383">
        <v>417</v>
      </c>
      <c r="AA383">
        <v>248</v>
      </c>
      <c r="AB383">
        <v>588</v>
      </c>
      <c r="AC383">
        <v>220</v>
      </c>
      <c r="AD383">
        <v>77</v>
      </c>
      <c r="AE383">
        <v>31</v>
      </c>
      <c r="AF383">
        <v>276</v>
      </c>
      <c r="AG383">
        <v>96</v>
      </c>
      <c r="AI383">
        <v>0.22222222222222221</v>
      </c>
    </row>
    <row r="384" spans="1:39" x14ac:dyDescent="0.2">
      <c r="A384" t="s">
        <v>415</v>
      </c>
      <c r="B384" t="s">
        <v>49</v>
      </c>
      <c r="C384" t="s">
        <v>38</v>
      </c>
      <c r="D384">
        <v>3.8</v>
      </c>
      <c r="E384">
        <v>4</v>
      </c>
      <c r="F384">
        <v>2</v>
      </c>
      <c r="G384">
        <v>1.2</v>
      </c>
      <c r="H384">
        <v>0</v>
      </c>
      <c r="I384">
        <v>1</v>
      </c>
      <c r="J384">
        <v>28</v>
      </c>
      <c r="K384">
        <v>0</v>
      </c>
      <c r="L384">
        <v>2</v>
      </c>
      <c r="M384">
        <v>0</v>
      </c>
      <c r="N384">
        <v>0</v>
      </c>
      <c r="O384">
        <v>3.9</v>
      </c>
      <c r="P384">
        <v>0.8</v>
      </c>
      <c r="Q384">
        <v>0</v>
      </c>
      <c r="R384">
        <v>0.2</v>
      </c>
      <c r="S384">
        <v>1.1000000000000001</v>
      </c>
      <c r="T384">
        <v>0</v>
      </c>
      <c r="U384">
        <v>0.08</v>
      </c>
      <c r="V384">
        <v>0.08</v>
      </c>
      <c r="W384">
        <v>0.59</v>
      </c>
      <c r="X384">
        <v>0</v>
      </c>
      <c r="Y384" t="s">
        <v>1000</v>
      </c>
      <c r="Z384">
        <v>751</v>
      </c>
      <c r="AA384">
        <v>248</v>
      </c>
      <c r="AB384">
        <v>282</v>
      </c>
      <c r="AC384">
        <v>92</v>
      </c>
      <c r="AD384">
        <v>267</v>
      </c>
      <c r="AE384">
        <v>94</v>
      </c>
      <c r="AF384">
        <v>166</v>
      </c>
      <c r="AG384">
        <v>62</v>
      </c>
      <c r="AH384">
        <f>fpl_player_statistics_cleaned[[#This Row],[Total Points]] / fpl_player_statistics_cleaned[[#This Row],[Now Cost]]</f>
        <v>1.0526315789473684</v>
      </c>
      <c r="AI384">
        <f>fpl_player_statistics_cleaned[[#This Row],[Goals Scored]] + fpl_player_statistics_cleaned[[#This Row],[Assists]]</f>
        <v>1</v>
      </c>
      <c r="AJ384" t="e">
        <f>fpl_player_statistics_cleaned[[#This Row],[Total Points]] / fpl_player_statistics_cleaned[[#This Row],[Starts]]</f>
        <v>#DIV/0!</v>
      </c>
      <c r="AK384">
        <f>((fpl_player_statistics_cleaned[[#This Row],[Points Per Game]]) * fpl_player_statistics_cleaned[[#This Row],[Form]]) / fpl_player_statistics_cleaned[[#This Row],[Now Cost]]</f>
        <v>0.4210526315789474</v>
      </c>
      <c r="AL384">
        <f>fpl_player_statistics_cleaned[[#This Row],[Minutes]] / fpl_player_statistics_cleaned[[#This Row],[Total Points]]</f>
        <v>7</v>
      </c>
      <c r="AM38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1.6842105263157896</v>
      </c>
    </row>
    <row r="385" spans="1:39" x14ac:dyDescent="0.2">
      <c r="A385" t="s">
        <v>416</v>
      </c>
      <c r="B385" t="s">
        <v>63</v>
      </c>
      <c r="C385" t="s">
        <v>38</v>
      </c>
      <c r="D385">
        <v>4.9000000000000004</v>
      </c>
      <c r="E385">
        <v>4</v>
      </c>
      <c r="F385">
        <v>1</v>
      </c>
      <c r="G385">
        <v>0.1</v>
      </c>
      <c r="H385">
        <v>0</v>
      </c>
      <c r="I385">
        <v>0</v>
      </c>
      <c r="J385">
        <v>43</v>
      </c>
      <c r="K385">
        <v>0</v>
      </c>
      <c r="L385">
        <v>1</v>
      </c>
      <c r="M385">
        <v>0</v>
      </c>
      <c r="N385">
        <v>0</v>
      </c>
      <c r="O385">
        <v>2</v>
      </c>
      <c r="P385">
        <v>0.5</v>
      </c>
      <c r="Q385">
        <v>0</v>
      </c>
      <c r="R385">
        <v>0.1</v>
      </c>
      <c r="S385">
        <v>0.8</v>
      </c>
      <c r="T385">
        <v>0.13</v>
      </c>
      <c r="U385">
        <v>7.0000000000000007E-2</v>
      </c>
      <c r="V385">
        <v>0.2</v>
      </c>
      <c r="W385">
        <v>0.56999999999999995</v>
      </c>
      <c r="X385">
        <v>0</v>
      </c>
      <c r="Y385" t="s">
        <v>1000</v>
      </c>
      <c r="Z385">
        <v>298</v>
      </c>
      <c r="AA385">
        <v>46</v>
      </c>
      <c r="AB385">
        <v>316</v>
      </c>
      <c r="AC385">
        <v>106</v>
      </c>
      <c r="AD385">
        <v>401</v>
      </c>
      <c r="AE385">
        <v>142</v>
      </c>
      <c r="AF385">
        <v>413</v>
      </c>
      <c r="AG385">
        <v>154</v>
      </c>
      <c r="AH385">
        <f>fpl_player_statistics_cleaned[[#This Row],[Total Points]] / fpl_player_statistics_cleaned[[#This Row],[Now Cost]]</f>
        <v>0.81632653061224481</v>
      </c>
      <c r="AI385">
        <f>fpl_player_statistics_cleaned[[#This Row],[Goals Scored]] + fpl_player_statistics_cleaned[[#This Row],[Assists]]</f>
        <v>0</v>
      </c>
      <c r="AJ385" t="e">
        <f>fpl_player_statistics_cleaned[[#This Row],[Total Points]] / fpl_player_statistics_cleaned[[#This Row],[Starts]]</f>
        <v>#DIV/0!</v>
      </c>
      <c r="AK385">
        <f>((fpl_player_statistics_cleaned[[#This Row],[Points Per Game]]) * fpl_player_statistics_cleaned[[#This Row],[Form]]) / fpl_player_statistics_cleaned[[#This Row],[Now Cost]]</f>
        <v>0.1020408163265306</v>
      </c>
      <c r="AL385">
        <f>fpl_player_statistics_cleaned[[#This Row],[Minutes]] / fpl_player_statistics_cleaned[[#This Row],[Total Points]]</f>
        <v>10.75</v>
      </c>
      <c r="AM38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0.4081632653061224</v>
      </c>
    </row>
    <row r="386" spans="1:39" hidden="1" x14ac:dyDescent="0.2">
      <c r="A386" t="s">
        <v>955</v>
      </c>
      <c r="B386" t="s">
        <v>47</v>
      </c>
      <c r="C386" t="s">
        <v>41</v>
      </c>
      <c r="D386">
        <v>4.9000000000000004</v>
      </c>
      <c r="E386">
        <v>4</v>
      </c>
      <c r="F386">
        <v>1</v>
      </c>
      <c r="G386">
        <v>0</v>
      </c>
      <c r="H386">
        <v>0</v>
      </c>
      <c r="I386">
        <v>0</v>
      </c>
      <c r="J386">
        <v>105</v>
      </c>
      <c r="K386">
        <v>0</v>
      </c>
      <c r="L386">
        <v>3</v>
      </c>
      <c r="M386">
        <v>0</v>
      </c>
      <c r="N386">
        <v>0</v>
      </c>
      <c r="O386">
        <v>1.8</v>
      </c>
      <c r="P386">
        <v>0.5</v>
      </c>
      <c r="Q386">
        <v>0</v>
      </c>
      <c r="R386">
        <v>0.1</v>
      </c>
      <c r="S386">
        <v>0.8</v>
      </c>
      <c r="T386">
        <v>0</v>
      </c>
      <c r="U386">
        <v>0.05</v>
      </c>
      <c r="V386">
        <v>0.05</v>
      </c>
      <c r="W386">
        <v>2.79</v>
      </c>
      <c r="X386">
        <v>1</v>
      </c>
      <c r="Y386" t="s">
        <v>417</v>
      </c>
      <c r="Z386">
        <v>341</v>
      </c>
      <c r="AA386">
        <v>215</v>
      </c>
      <c r="AB386">
        <v>318</v>
      </c>
      <c r="AC386">
        <v>158</v>
      </c>
      <c r="AD386">
        <v>403</v>
      </c>
      <c r="AE386">
        <v>188</v>
      </c>
      <c r="AF386">
        <v>649</v>
      </c>
      <c r="AG386">
        <v>269</v>
      </c>
      <c r="AI386">
        <v>0</v>
      </c>
    </row>
    <row r="387" spans="1:39" x14ac:dyDescent="0.2">
      <c r="A387" t="s">
        <v>418</v>
      </c>
      <c r="B387" t="s">
        <v>100</v>
      </c>
      <c r="C387" t="s">
        <v>38</v>
      </c>
      <c r="D387">
        <v>4</v>
      </c>
      <c r="E387">
        <v>4</v>
      </c>
      <c r="F387">
        <v>0.8</v>
      </c>
      <c r="G387">
        <v>0.2</v>
      </c>
      <c r="H387">
        <v>0</v>
      </c>
      <c r="I387">
        <v>0</v>
      </c>
      <c r="J387">
        <v>77</v>
      </c>
      <c r="K387">
        <v>0</v>
      </c>
      <c r="L387">
        <v>1</v>
      </c>
      <c r="M387">
        <v>0</v>
      </c>
      <c r="N387">
        <v>0</v>
      </c>
      <c r="O387">
        <v>1.8</v>
      </c>
      <c r="P387">
        <v>0.2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0.99</v>
      </c>
      <c r="X387">
        <v>0</v>
      </c>
      <c r="Y387" t="s">
        <v>1000</v>
      </c>
      <c r="Z387">
        <v>634</v>
      </c>
      <c r="AA387">
        <v>165</v>
      </c>
      <c r="AB387">
        <v>342</v>
      </c>
      <c r="AC387">
        <v>114</v>
      </c>
      <c r="AD387">
        <v>435</v>
      </c>
      <c r="AE387">
        <v>146</v>
      </c>
      <c r="AF387">
        <v>350</v>
      </c>
      <c r="AG387">
        <v>125</v>
      </c>
      <c r="AH387">
        <f>fpl_player_statistics_cleaned[[#This Row],[Total Points]] / fpl_player_statistics_cleaned[[#This Row],[Now Cost]]</f>
        <v>1</v>
      </c>
      <c r="AI387">
        <f>fpl_player_statistics_cleaned[[#This Row],[Goals Scored]] + fpl_player_statistics_cleaned[[#This Row],[Assists]]</f>
        <v>0</v>
      </c>
      <c r="AJ387" t="e">
        <f>fpl_player_statistics_cleaned[[#This Row],[Total Points]] / fpl_player_statistics_cleaned[[#This Row],[Starts]]</f>
        <v>#DIV/0!</v>
      </c>
      <c r="AK387">
        <f>((fpl_player_statistics_cleaned[[#This Row],[Points Per Game]]) * fpl_player_statistics_cleaned[[#This Row],[Form]]) / fpl_player_statistics_cleaned[[#This Row],[Now Cost]]</f>
        <v>4.0000000000000008E-2</v>
      </c>
      <c r="AL387">
        <f>fpl_player_statistics_cleaned[[#This Row],[Minutes]] / fpl_player_statistics_cleaned[[#This Row],[Total Points]]</f>
        <v>19.25</v>
      </c>
      <c r="AM38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0.16000000000000003</v>
      </c>
    </row>
    <row r="388" spans="1:39" x14ac:dyDescent="0.2">
      <c r="A388" t="s">
        <v>419</v>
      </c>
      <c r="B388" t="s">
        <v>122</v>
      </c>
      <c r="C388" t="s">
        <v>41</v>
      </c>
      <c r="D388">
        <v>5.0999999999999996</v>
      </c>
      <c r="E388">
        <v>4</v>
      </c>
      <c r="F388">
        <v>1</v>
      </c>
      <c r="G388">
        <v>0.1</v>
      </c>
      <c r="H388">
        <v>0</v>
      </c>
      <c r="I388">
        <v>0</v>
      </c>
      <c r="J388">
        <v>126</v>
      </c>
      <c r="K388">
        <v>0</v>
      </c>
      <c r="L388">
        <v>5</v>
      </c>
      <c r="M388">
        <v>0</v>
      </c>
      <c r="N388">
        <v>0</v>
      </c>
      <c r="O388">
        <v>6.1</v>
      </c>
      <c r="P388">
        <v>0</v>
      </c>
      <c r="Q388">
        <v>0</v>
      </c>
      <c r="R388">
        <v>0</v>
      </c>
      <c r="S388">
        <v>0.8</v>
      </c>
      <c r="T388">
        <v>0.02</v>
      </c>
      <c r="U388">
        <v>0.17</v>
      </c>
      <c r="V388">
        <v>0.19</v>
      </c>
      <c r="W388">
        <v>2.77</v>
      </c>
      <c r="X388">
        <v>1</v>
      </c>
      <c r="Y388" t="s">
        <v>1000</v>
      </c>
      <c r="Z388">
        <v>235</v>
      </c>
      <c r="AA388">
        <v>146</v>
      </c>
      <c r="AB388">
        <v>697</v>
      </c>
      <c r="AC388">
        <v>298</v>
      </c>
      <c r="AD388">
        <v>410</v>
      </c>
      <c r="AE388">
        <v>194</v>
      </c>
      <c r="AF388">
        <v>478</v>
      </c>
      <c r="AG388">
        <v>164</v>
      </c>
      <c r="AH388">
        <f>fpl_player_statistics_cleaned[[#This Row],[Total Points]] / fpl_player_statistics_cleaned[[#This Row],[Now Cost]]</f>
        <v>0.78431372549019618</v>
      </c>
      <c r="AI388">
        <f>fpl_player_statistics_cleaned[[#This Row],[Goals Scored]] + fpl_player_statistics_cleaned[[#This Row],[Assists]]</f>
        <v>0</v>
      </c>
      <c r="AJ388">
        <f>fpl_player_statistics_cleaned[[#This Row],[Total Points]] / fpl_player_statistics_cleaned[[#This Row],[Starts]]</f>
        <v>4</v>
      </c>
      <c r="AK388">
        <f>((fpl_player_statistics_cleaned[[#This Row],[Points Per Game]]) * fpl_player_statistics_cleaned[[#This Row],[Form]]) / fpl_player_statistics_cleaned[[#This Row],[Now Cost]]</f>
        <v>0</v>
      </c>
      <c r="AL388">
        <f>fpl_player_statistics_cleaned[[#This Row],[Minutes]] / fpl_player_statistics_cleaned[[#This Row],[Total Points]]</f>
        <v>31.5</v>
      </c>
      <c r="AM38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389" spans="1:39" x14ac:dyDescent="0.2">
      <c r="A389" t="s">
        <v>420</v>
      </c>
      <c r="B389" t="s">
        <v>70</v>
      </c>
      <c r="C389" t="s">
        <v>41</v>
      </c>
      <c r="D389">
        <v>5.4</v>
      </c>
      <c r="E389">
        <v>4</v>
      </c>
      <c r="F389">
        <v>1</v>
      </c>
      <c r="G389">
        <v>0.2</v>
      </c>
      <c r="H389">
        <v>0</v>
      </c>
      <c r="I389">
        <v>0</v>
      </c>
      <c r="J389">
        <v>97</v>
      </c>
      <c r="K389">
        <v>0</v>
      </c>
      <c r="L389">
        <v>2</v>
      </c>
      <c r="M389">
        <v>0</v>
      </c>
      <c r="N389">
        <v>0</v>
      </c>
      <c r="O389">
        <v>4.4000000000000004</v>
      </c>
      <c r="P389">
        <v>0</v>
      </c>
      <c r="Q389">
        <v>0</v>
      </c>
      <c r="R389">
        <v>0</v>
      </c>
      <c r="S389">
        <v>0.7</v>
      </c>
      <c r="T389">
        <v>0.19</v>
      </c>
      <c r="U389">
        <v>0.06</v>
      </c>
      <c r="V389">
        <v>0.25</v>
      </c>
      <c r="W389">
        <v>1.74</v>
      </c>
      <c r="X389">
        <v>1</v>
      </c>
      <c r="Y389" t="s">
        <v>1000</v>
      </c>
      <c r="Z389">
        <v>175</v>
      </c>
      <c r="AA389">
        <v>108</v>
      </c>
      <c r="AB389">
        <v>715</v>
      </c>
      <c r="AC389">
        <v>309</v>
      </c>
      <c r="AD389">
        <v>419</v>
      </c>
      <c r="AE389">
        <v>200</v>
      </c>
      <c r="AF389">
        <v>337</v>
      </c>
      <c r="AG389">
        <v>117</v>
      </c>
      <c r="AH389">
        <f>fpl_player_statistics_cleaned[[#This Row],[Total Points]] / fpl_player_statistics_cleaned[[#This Row],[Now Cost]]</f>
        <v>0.7407407407407407</v>
      </c>
      <c r="AI389">
        <f>fpl_player_statistics_cleaned[[#This Row],[Goals Scored]] + fpl_player_statistics_cleaned[[#This Row],[Assists]]</f>
        <v>0</v>
      </c>
      <c r="AJ389">
        <f>fpl_player_statistics_cleaned[[#This Row],[Total Points]] / fpl_player_statistics_cleaned[[#This Row],[Starts]]</f>
        <v>4</v>
      </c>
      <c r="AK389">
        <f>((fpl_player_statistics_cleaned[[#This Row],[Points Per Game]]) * fpl_player_statistics_cleaned[[#This Row],[Form]]) / fpl_player_statistics_cleaned[[#This Row],[Now Cost]]</f>
        <v>0</v>
      </c>
      <c r="AL389">
        <f>fpl_player_statistics_cleaned[[#This Row],[Minutes]] / fpl_player_statistics_cleaned[[#This Row],[Total Points]]</f>
        <v>24.25</v>
      </c>
      <c r="AM38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390" spans="1:39" x14ac:dyDescent="0.2">
      <c r="A390" t="s">
        <v>421</v>
      </c>
      <c r="B390" t="s">
        <v>70</v>
      </c>
      <c r="C390" t="s">
        <v>41</v>
      </c>
      <c r="D390">
        <v>5.8</v>
      </c>
      <c r="E390">
        <v>4</v>
      </c>
      <c r="F390">
        <v>1</v>
      </c>
      <c r="G390">
        <v>0.2</v>
      </c>
      <c r="H390">
        <v>0</v>
      </c>
      <c r="I390">
        <v>0</v>
      </c>
      <c r="J390">
        <v>87</v>
      </c>
      <c r="K390">
        <v>0</v>
      </c>
      <c r="L390">
        <v>0</v>
      </c>
      <c r="M390">
        <v>0</v>
      </c>
      <c r="N390">
        <v>0</v>
      </c>
      <c r="O390">
        <v>11.1</v>
      </c>
      <c r="P390">
        <v>0.8</v>
      </c>
      <c r="Q390">
        <v>0</v>
      </c>
      <c r="R390">
        <v>0.1</v>
      </c>
      <c r="S390">
        <v>0.7</v>
      </c>
      <c r="T390">
        <v>0.32</v>
      </c>
      <c r="U390">
        <v>0.13</v>
      </c>
      <c r="V390">
        <v>0.45</v>
      </c>
      <c r="W390">
        <v>0.6</v>
      </c>
      <c r="X390">
        <v>0</v>
      </c>
      <c r="Y390" t="s">
        <v>1000</v>
      </c>
      <c r="Z390">
        <v>109</v>
      </c>
      <c r="AA390">
        <v>74</v>
      </c>
      <c r="AB390">
        <v>303</v>
      </c>
      <c r="AC390">
        <v>151</v>
      </c>
      <c r="AD390">
        <v>425</v>
      </c>
      <c r="AE390">
        <v>204</v>
      </c>
      <c r="AF390">
        <v>377</v>
      </c>
      <c r="AG390">
        <v>129</v>
      </c>
      <c r="AH390">
        <f>fpl_player_statistics_cleaned[[#This Row],[Total Points]] / fpl_player_statistics_cleaned[[#This Row],[Now Cost]]</f>
        <v>0.68965517241379315</v>
      </c>
      <c r="AI390">
        <f>fpl_player_statistics_cleaned[[#This Row],[Goals Scored]] + fpl_player_statistics_cleaned[[#This Row],[Assists]]</f>
        <v>0</v>
      </c>
      <c r="AJ390" t="e">
        <f>fpl_player_statistics_cleaned[[#This Row],[Total Points]] / fpl_player_statistics_cleaned[[#This Row],[Starts]]</f>
        <v>#DIV/0!</v>
      </c>
      <c r="AK390">
        <f>((fpl_player_statistics_cleaned[[#This Row],[Points Per Game]]) * fpl_player_statistics_cleaned[[#This Row],[Form]]) / fpl_player_statistics_cleaned[[#This Row],[Now Cost]]</f>
        <v>0.13793103448275862</v>
      </c>
      <c r="AL390">
        <f>fpl_player_statistics_cleaned[[#This Row],[Minutes]] / fpl_player_statistics_cleaned[[#This Row],[Total Points]]</f>
        <v>21.75</v>
      </c>
      <c r="AM39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0.55172413793103448</v>
      </c>
    </row>
    <row r="391" spans="1:39" x14ac:dyDescent="0.2">
      <c r="A391" t="s">
        <v>422</v>
      </c>
      <c r="B391" t="s">
        <v>92</v>
      </c>
      <c r="C391" t="s">
        <v>38</v>
      </c>
      <c r="D391">
        <v>4.4000000000000004</v>
      </c>
      <c r="E391">
        <v>4</v>
      </c>
      <c r="F391">
        <v>1.3</v>
      </c>
      <c r="G391">
        <v>0.1</v>
      </c>
      <c r="H391">
        <v>0</v>
      </c>
      <c r="I391">
        <v>0</v>
      </c>
      <c r="J391">
        <v>223</v>
      </c>
      <c r="K391">
        <v>0</v>
      </c>
      <c r="L391">
        <v>5</v>
      </c>
      <c r="M391">
        <v>0</v>
      </c>
      <c r="N391">
        <v>0</v>
      </c>
      <c r="O391">
        <v>4</v>
      </c>
      <c r="P391">
        <v>0.5</v>
      </c>
      <c r="Q391">
        <v>0</v>
      </c>
      <c r="R391">
        <v>0.1</v>
      </c>
      <c r="S391">
        <v>0.9</v>
      </c>
      <c r="T391">
        <v>0</v>
      </c>
      <c r="U391">
        <v>0.02</v>
      </c>
      <c r="V391">
        <v>0.02</v>
      </c>
      <c r="W391">
        <v>4.0599999999999996</v>
      </c>
      <c r="X391">
        <v>2</v>
      </c>
      <c r="Y391" t="s">
        <v>1000</v>
      </c>
      <c r="Z391">
        <v>504</v>
      </c>
      <c r="AA391">
        <v>115</v>
      </c>
      <c r="AB391">
        <v>310</v>
      </c>
      <c r="AC391">
        <v>104</v>
      </c>
      <c r="AD391">
        <v>350</v>
      </c>
      <c r="AE391">
        <v>123</v>
      </c>
      <c r="AF391">
        <v>512</v>
      </c>
      <c r="AG391">
        <v>187</v>
      </c>
      <c r="AH391">
        <f>fpl_player_statistics_cleaned[[#This Row],[Total Points]] / fpl_player_statistics_cleaned[[#This Row],[Now Cost]]</f>
        <v>0.90909090909090906</v>
      </c>
      <c r="AI391">
        <f>fpl_player_statistics_cleaned[[#This Row],[Goals Scored]] + fpl_player_statistics_cleaned[[#This Row],[Assists]]</f>
        <v>0</v>
      </c>
      <c r="AJ391">
        <f>fpl_player_statistics_cleaned[[#This Row],[Total Points]] / fpl_player_statistics_cleaned[[#This Row],[Starts]]</f>
        <v>2</v>
      </c>
      <c r="AK391">
        <f>((fpl_player_statistics_cleaned[[#This Row],[Points Per Game]]) * fpl_player_statistics_cleaned[[#This Row],[Form]]) / fpl_player_statistics_cleaned[[#This Row],[Now Cost]]</f>
        <v>0.14772727272727271</v>
      </c>
      <c r="AL391">
        <f>fpl_player_statistics_cleaned[[#This Row],[Minutes]] / fpl_player_statistics_cleaned[[#This Row],[Total Points]]</f>
        <v>55.75</v>
      </c>
      <c r="AM39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0.59090909090909094</v>
      </c>
    </row>
    <row r="392" spans="1:39" x14ac:dyDescent="0.2">
      <c r="A392" t="s">
        <v>423</v>
      </c>
      <c r="B392" t="s">
        <v>65</v>
      </c>
      <c r="C392" t="s">
        <v>38</v>
      </c>
      <c r="D392">
        <v>3.9</v>
      </c>
      <c r="E392">
        <v>4</v>
      </c>
      <c r="F392">
        <v>1</v>
      </c>
      <c r="G392">
        <v>0.2</v>
      </c>
      <c r="H392">
        <v>0</v>
      </c>
      <c r="I392">
        <v>0</v>
      </c>
      <c r="J392">
        <v>19</v>
      </c>
      <c r="K392">
        <v>0</v>
      </c>
      <c r="L392">
        <v>2</v>
      </c>
      <c r="M392">
        <v>0</v>
      </c>
      <c r="N392">
        <v>0</v>
      </c>
      <c r="O392">
        <v>1.2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2.17</v>
      </c>
      <c r="X392">
        <v>0</v>
      </c>
      <c r="Y392" t="s">
        <v>1000</v>
      </c>
      <c r="Z392">
        <v>705</v>
      </c>
      <c r="AA392">
        <v>211</v>
      </c>
      <c r="AB392">
        <v>395</v>
      </c>
      <c r="AC392">
        <v>140</v>
      </c>
      <c r="AD392">
        <v>371</v>
      </c>
      <c r="AE392">
        <v>129</v>
      </c>
      <c r="AF392">
        <v>366</v>
      </c>
      <c r="AG392">
        <v>130</v>
      </c>
      <c r="AH392">
        <f>fpl_player_statistics_cleaned[[#This Row],[Total Points]] / fpl_player_statistics_cleaned[[#This Row],[Now Cost]]</f>
        <v>1.0256410256410258</v>
      </c>
      <c r="AI392">
        <f>fpl_player_statistics_cleaned[[#This Row],[Goals Scored]] + fpl_player_statistics_cleaned[[#This Row],[Assists]]</f>
        <v>0</v>
      </c>
      <c r="AJ392" t="e">
        <f>fpl_player_statistics_cleaned[[#This Row],[Total Points]] / fpl_player_statistics_cleaned[[#This Row],[Starts]]</f>
        <v>#DIV/0!</v>
      </c>
      <c r="AK392">
        <f>((fpl_player_statistics_cleaned[[#This Row],[Points Per Game]]) * fpl_player_statistics_cleaned[[#This Row],[Form]]) / fpl_player_statistics_cleaned[[#This Row],[Now Cost]]</f>
        <v>0</v>
      </c>
      <c r="AL392">
        <f>fpl_player_statistics_cleaned[[#This Row],[Minutes]] / fpl_player_statistics_cleaned[[#This Row],[Total Points]]</f>
        <v>4.75</v>
      </c>
      <c r="AM39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393" spans="1:39" x14ac:dyDescent="0.2">
      <c r="A393" t="s">
        <v>956</v>
      </c>
      <c r="B393" t="s">
        <v>57</v>
      </c>
      <c r="C393" t="s">
        <v>41</v>
      </c>
      <c r="D393">
        <v>5</v>
      </c>
      <c r="E393">
        <v>4</v>
      </c>
      <c r="F393">
        <v>1</v>
      </c>
      <c r="G393">
        <v>0</v>
      </c>
      <c r="H393">
        <v>0</v>
      </c>
      <c r="I393">
        <v>0</v>
      </c>
      <c r="J393">
        <v>91</v>
      </c>
      <c r="K393">
        <v>0</v>
      </c>
      <c r="L393">
        <v>1</v>
      </c>
      <c r="M393">
        <v>0</v>
      </c>
      <c r="N393">
        <v>0</v>
      </c>
      <c r="O393">
        <v>3.2</v>
      </c>
      <c r="P393">
        <v>0.8</v>
      </c>
      <c r="Q393">
        <v>0</v>
      </c>
      <c r="R393">
        <v>0.2</v>
      </c>
      <c r="S393">
        <v>0.8</v>
      </c>
      <c r="T393">
        <v>0.26</v>
      </c>
      <c r="U393">
        <v>0.02</v>
      </c>
      <c r="V393">
        <v>0.28000000000000003</v>
      </c>
      <c r="W393">
        <v>1.54</v>
      </c>
      <c r="X393">
        <v>0</v>
      </c>
      <c r="Y393" t="s">
        <v>1000</v>
      </c>
      <c r="Z393">
        <v>281</v>
      </c>
      <c r="AA393">
        <v>175</v>
      </c>
      <c r="AB393">
        <v>293</v>
      </c>
      <c r="AC393">
        <v>142</v>
      </c>
      <c r="AD393">
        <v>408</v>
      </c>
      <c r="AE393">
        <v>192</v>
      </c>
      <c r="AF393">
        <v>706</v>
      </c>
      <c r="AG393">
        <v>306</v>
      </c>
      <c r="AH393">
        <f>fpl_player_statistics_cleaned[[#This Row],[Total Points]] / fpl_player_statistics_cleaned[[#This Row],[Now Cost]]</f>
        <v>0.8</v>
      </c>
      <c r="AI393">
        <f>fpl_player_statistics_cleaned[[#This Row],[Goals Scored]] + fpl_player_statistics_cleaned[[#This Row],[Assists]]</f>
        <v>0</v>
      </c>
      <c r="AJ393" t="e">
        <f>fpl_player_statistics_cleaned[[#This Row],[Total Points]] / fpl_player_statistics_cleaned[[#This Row],[Starts]]</f>
        <v>#DIV/0!</v>
      </c>
      <c r="AK393">
        <f>((fpl_player_statistics_cleaned[[#This Row],[Points Per Game]]) * fpl_player_statistics_cleaned[[#This Row],[Form]]) / fpl_player_statistics_cleaned[[#This Row],[Now Cost]]</f>
        <v>0.16</v>
      </c>
      <c r="AL393">
        <f>fpl_player_statistics_cleaned[[#This Row],[Minutes]] / fpl_player_statistics_cleaned[[#This Row],[Total Points]]</f>
        <v>22.75</v>
      </c>
      <c r="AM39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0.64</v>
      </c>
    </row>
    <row r="394" spans="1:39" hidden="1" x14ac:dyDescent="0.2">
      <c r="A394" t="s">
        <v>424</v>
      </c>
      <c r="B394" t="s">
        <v>97</v>
      </c>
      <c r="C394" t="s">
        <v>38</v>
      </c>
      <c r="D394">
        <v>4.4000000000000004</v>
      </c>
      <c r="E394">
        <v>3</v>
      </c>
      <c r="F394">
        <v>1.5</v>
      </c>
      <c r="G394">
        <v>0</v>
      </c>
      <c r="H394">
        <v>0</v>
      </c>
      <c r="I394">
        <v>0</v>
      </c>
      <c r="J394">
        <v>180</v>
      </c>
      <c r="K394">
        <v>0</v>
      </c>
      <c r="L394">
        <v>8</v>
      </c>
      <c r="M394">
        <v>0</v>
      </c>
      <c r="N394">
        <v>0</v>
      </c>
      <c r="O394">
        <v>5.0999999999999996</v>
      </c>
      <c r="P394">
        <v>0</v>
      </c>
      <c r="Q394">
        <v>0</v>
      </c>
      <c r="R394">
        <v>0</v>
      </c>
      <c r="S394">
        <v>0.7</v>
      </c>
      <c r="T394">
        <v>0.1</v>
      </c>
      <c r="U394">
        <v>0.03</v>
      </c>
      <c r="V394">
        <v>0.13</v>
      </c>
      <c r="W394">
        <v>3.42</v>
      </c>
      <c r="X394">
        <v>2</v>
      </c>
      <c r="Y394" t="s">
        <v>425</v>
      </c>
      <c r="Z394">
        <v>502</v>
      </c>
      <c r="AA394">
        <v>113</v>
      </c>
      <c r="AB394">
        <v>532</v>
      </c>
      <c r="AC394">
        <v>220</v>
      </c>
      <c r="AD394">
        <v>325</v>
      </c>
      <c r="AE394">
        <v>117</v>
      </c>
      <c r="AF394">
        <v>573</v>
      </c>
      <c r="AG394">
        <v>208</v>
      </c>
      <c r="AI394">
        <v>0</v>
      </c>
    </row>
    <row r="395" spans="1:39" x14ac:dyDescent="0.2">
      <c r="A395" t="s">
        <v>426</v>
      </c>
      <c r="B395" t="s">
        <v>43</v>
      </c>
      <c r="C395" t="s">
        <v>35</v>
      </c>
      <c r="D395">
        <v>5.5</v>
      </c>
      <c r="E395">
        <v>3</v>
      </c>
      <c r="F395">
        <v>1</v>
      </c>
      <c r="G395">
        <v>0</v>
      </c>
      <c r="H395">
        <v>0</v>
      </c>
      <c r="I395">
        <v>0</v>
      </c>
      <c r="J395">
        <v>8</v>
      </c>
      <c r="K395">
        <v>0</v>
      </c>
      <c r="L395">
        <v>1</v>
      </c>
      <c r="M395">
        <v>0</v>
      </c>
      <c r="N395">
        <v>0</v>
      </c>
      <c r="O395">
        <v>2.2999999999999998</v>
      </c>
      <c r="P395">
        <v>0.2</v>
      </c>
      <c r="Q395">
        <v>0</v>
      </c>
      <c r="R395">
        <v>0</v>
      </c>
      <c r="S395">
        <v>0.5</v>
      </c>
      <c r="T395">
        <v>0.01</v>
      </c>
      <c r="U395">
        <v>0</v>
      </c>
      <c r="V395">
        <v>0.01</v>
      </c>
      <c r="W395">
        <v>0.73</v>
      </c>
      <c r="X395">
        <v>0</v>
      </c>
      <c r="Y395" t="s">
        <v>1000</v>
      </c>
      <c r="Z395">
        <v>153</v>
      </c>
      <c r="AA395">
        <v>39</v>
      </c>
      <c r="AB395">
        <v>376</v>
      </c>
      <c r="AC395">
        <v>46</v>
      </c>
      <c r="AD395">
        <v>423</v>
      </c>
      <c r="AE395">
        <v>50</v>
      </c>
      <c r="AF395">
        <v>612</v>
      </c>
      <c r="AG395">
        <v>76</v>
      </c>
      <c r="AH395">
        <f>fpl_player_statistics_cleaned[[#This Row],[Total Points]] / fpl_player_statistics_cleaned[[#This Row],[Now Cost]]</f>
        <v>0.54545454545454541</v>
      </c>
      <c r="AI395">
        <f>fpl_player_statistics_cleaned[[#This Row],[Goals Scored]] + fpl_player_statistics_cleaned[[#This Row],[Assists]]</f>
        <v>0</v>
      </c>
      <c r="AJ395" t="e">
        <f>fpl_player_statistics_cleaned[[#This Row],[Total Points]] / fpl_player_statistics_cleaned[[#This Row],[Starts]]</f>
        <v>#DIV/0!</v>
      </c>
      <c r="AK395">
        <f>((fpl_player_statistics_cleaned[[#This Row],[Points Per Game]]) * fpl_player_statistics_cleaned[[#This Row],[Form]]) / fpl_player_statistics_cleaned[[#This Row],[Now Cost]]</f>
        <v>3.6363636363636369E-2</v>
      </c>
      <c r="AL395">
        <f>fpl_player_statistics_cleaned[[#This Row],[Minutes]] / fpl_player_statistics_cleaned[[#This Row],[Total Points]]</f>
        <v>2.6666666666666665</v>
      </c>
      <c r="AM39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0.10909090909090911</v>
      </c>
    </row>
    <row r="396" spans="1:39" x14ac:dyDescent="0.2">
      <c r="A396" t="s">
        <v>427</v>
      </c>
      <c r="B396" t="s">
        <v>47</v>
      </c>
      <c r="C396" t="s">
        <v>38</v>
      </c>
      <c r="D396">
        <v>4.7</v>
      </c>
      <c r="E396">
        <v>3</v>
      </c>
      <c r="F396">
        <v>0.8</v>
      </c>
      <c r="G396">
        <v>0.2</v>
      </c>
      <c r="H396">
        <v>0</v>
      </c>
      <c r="I396">
        <v>0</v>
      </c>
      <c r="J396">
        <v>166</v>
      </c>
      <c r="K396">
        <v>0</v>
      </c>
      <c r="L396">
        <v>2</v>
      </c>
      <c r="M396">
        <v>0</v>
      </c>
      <c r="N396">
        <v>0</v>
      </c>
      <c r="O396">
        <v>3.2</v>
      </c>
      <c r="P396">
        <v>0</v>
      </c>
      <c r="Q396">
        <v>0</v>
      </c>
      <c r="R396">
        <v>0</v>
      </c>
      <c r="S396">
        <v>0.6</v>
      </c>
      <c r="T396">
        <v>0</v>
      </c>
      <c r="U396">
        <v>0.01</v>
      </c>
      <c r="V396">
        <v>0.01</v>
      </c>
      <c r="W396">
        <v>2.5099999999999998</v>
      </c>
      <c r="X396">
        <v>2</v>
      </c>
      <c r="Y396" t="s">
        <v>1000</v>
      </c>
      <c r="Z396">
        <v>386</v>
      </c>
      <c r="AA396">
        <v>67</v>
      </c>
      <c r="AB396">
        <v>645</v>
      </c>
      <c r="AC396">
        <v>233</v>
      </c>
      <c r="AD396">
        <v>438</v>
      </c>
      <c r="AE396">
        <v>149</v>
      </c>
      <c r="AF396">
        <v>380</v>
      </c>
      <c r="AG396">
        <v>137</v>
      </c>
      <c r="AH396">
        <f>fpl_player_statistics_cleaned[[#This Row],[Total Points]] / fpl_player_statistics_cleaned[[#This Row],[Now Cost]]</f>
        <v>0.63829787234042545</v>
      </c>
      <c r="AI396">
        <f>fpl_player_statistics_cleaned[[#This Row],[Goals Scored]] + fpl_player_statistics_cleaned[[#This Row],[Assists]]</f>
        <v>0</v>
      </c>
      <c r="AJ396">
        <f>fpl_player_statistics_cleaned[[#This Row],[Total Points]] / fpl_player_statistics_cleaned[[#This Row],[Starts]]</f>
        <v>1.5</v>
      </c>
      <c r="AK396">
        <f>((fpl_player_statistics_cleaned[[#This Row],[Points Per Game]]) * fpl_player_statistics_cleaned[[#This Row],[Form]]) / fpl_player_statistics_cleaned[[#This Row],[Now Cost]]</f>
        <v>0</v>
      </c>
      <c r="AL396">
        <f>fpl_player_statistics_cleaned[[#This Row],[Minutes]] / fpl_player_statistics_cleaned[[#This Row],[Total Points]]</f>
        <v>55.333333333333336</v>
      </c>
      <c r="AM39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397" spans="1:39" hidden="1" x14ac:dyDescent="0.2">
      <c r="A397" t="s">
        <v>428</v>
      </c>
      <c r="B397" t="s">
        <v>92</v>
      </c>
      <c r="C397" t="s">
        <v>38</v>
      </c>
      <c r="D397">
        <v>4.9000000000000004</v>
      </c>
      <c r="E397">
        <v>3</v>
      </c>
      <c r="F397">
        <v>1</v>
      </c>
      <c r="G397">
        <v>0.5</v>
      </c>
      <c r="H397">
        <v>0</v>
      </c>
      <c r="I397">
        <v>0</v>
      </c>
      <c r="J397">
        <v>61</v>
      </c>
      <c r="K397">
        <v>0</v>
      </c>
      <c r="L397">
        <v>0</v>
      </c>
      <c r="M397">
        <v>0</v>
      </c>
      <c r="N397">
        <v>0</v>
      </c>
      <c r="O397">
        <v>4.0999999999999996</v>
      </c>
      <c r="P397">
        <v>0</v>
      </c>
      <c r="Q397">
        <v>0</v>
      </c>
      <c r="R397">
        <v>0</v>
      </c>
      <c r="S397">
        <v>0.6</v>
      </c>
      <c r="T397">
        <v>0</v>
      </c>
      <c r="U397">
        <v>0.08</v>
      </c>
      <c r="V397">
        <v>0.08</v>
      </c>
      <c r="W397">
        <v>0.23</v>
      </c>
      <c r="X397">
        <v>0</v>
      </c>
      <c r="Y397" t="s">
        <v>429</v>
      </c>
      <c r="Z397">
        <v>297</v>
      </c>
      <c r="AA397">
        <v>45</v>
      </c>
      <c r="AB397">
        <v>663</v>
      </c>
      <c r="AC397">
        <v>237</v>
      </c>
      <c r="AD397">
        <v>400</v>
      </c>
      <c r="AE397">
        <v>141</v>
      </c>
      <c r="AF397">
        <v>237</v>
      </c>
      <c r="AG397">
        <v>86</v>
      </c>
      <c r="AI397">
        <v>0</v>
      </c>
    </row>
    <row r="398" spans="1:39" x14ac:dyDescent="0.2">
      <c r="A398" t="s">
        <v>430</v>
      </c>
      <c r="B398" t="s">
        <v>81</v>
      </c>
      <c r="C398" t="s">
        <v>38</v>
      </c>
      <c r="D398">
        <v>4.3</v>
      </c>
      <c r="E398">
        <v>3</v>
      </c>
      <c r="F398">
        <v>1</v>
      </c>
      <c r="G398">
        <v>0.1</v>
      </c>
      <c r="H398">
        <v>0</v>
      </c>
      <c r="I398">
        <v>0</v>
      </c>
      <c r="J398">
        <v>17</v>
      </c>
      <c r="K398">
        <v>0</v>
      </c>
      <c r="L398">
        <v>1</v>
      </c>
      <c r="M398">
        <v>0</v>
      </c>
      <c r="N398">
        <v>0</v>
      </c>
      <c r="O398">
        <v>0.8</v>
      </c>
      <c r="P398">
        <v>0.2</v>
      </c>
      <c r="Q398">
        <v>0</v>
      </c>
      <c r="R398">
        <v>0</v>
      </c>
      <c r="S398">
        <v>0.7</v>
      </c>
      <c r="T398">
        <v>0</v>
      </c>
      <c r="U398">
        <v>0</v>
      </c>
      <c r="V398">
        <v>0</v>
      </c>
      <c r="W398">
        <v>0.21</v>
      </c>
      <c r="X398">
        <v>0</v>
      </c>
      <c r="Y398" t="s">
        <v>1000</v>
      </c>
      <c r="Z398">
        <v>602</v>
      </c>
      <c r="AA398">
        <v>153</v>
      </c>
      <c r="AB398">
        <v>349</v>
      </c>
      <c r="AC398">
        <v>119</v>
      </c>
      <c r="AD398">
        <v>379</v>
      </c>
      <c r="AE398">
        <v>136</v>
      </c>
      <c r="AF398">
        <v>564</v>
      </c>
      <c r="AG398">
        <v>203</v>
      </c>
      <c r="AH398">
        <f>fpl_player_statistics_cleaned[[#This Row],[Total Points]] / fpl_player_statistics_cleaned[[#This Row],[Now Cost]]</f>
        <v>0.69767441860465118</v>
      </c>
      <c r="AI398">
        <f>fpl_player_statistics_cleaned[[#This Row],[Goals Scored]] + fpl_player_statistics_cleaned[[#This Row],[Assists]]</f>
        <v>0</v>
      </c>
      <c r="AJ398" t="e">
        <f>fpl_player_statistics_cleaned[[#This Row],[Total Points]] / fpl_player_statistics_cleaned[[#This Row],[Starts]]</f>
        <v>#DIV/0!</v>
      </c>
      <c r="AK398">
        <f>((fpl_player_statistics_cleaned[[#This Row],[Points Per Game]]) * fpl_player_statistics_cleaned[[#This Row],[Form]]) / fpl_player_statistics_cleaned[[#This Row],[Now Cost]]</f>
        <v>4.651162790697675E-2</v>
      </c>
      <c r="AL398">
        <f>fpl_player_statistics_cleaned[[#This Row],[Minutes]] / fpl_player_statistics_cleaned[[#This Row],[Total Points]]</f>
        <v>5.666666666666667</v>
      </c>
      <c r="AM39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0.13953488372093026</v>
      </c>
    </row>
    <row r="399" spans="1:39" x14ac:dyDescent="0.2">
      <c r="A399" t="s">
        <v>431</v>
      </c>
      <c r="B399" t="s">
        <v>57</v>
      </c>
      <c r="C399" t="s">
        <v>41</v>
      </c>
      <c r="D399">
        <v>5.6</v>
      </c>
      <c r="E399">
        <v>3</v>
      </c>
      <c r="F399">
        <v>1</v>
      </c>
      <c r="G399">
        <v>0.1</v>
      </c>
      <c r="H399">
        <v>0</v>
      </c>
      <c r="I399">
        <v>0</v>
      </c>
      <c r="J399">
        <v>51</v>
      </c>
      <c r="K399">
        <v>0</v>
      </c>
      <c r="L399">
        <v>0</v>
      </c>
      <c r="M399">
        <v>0</v>
      </c>
      <c r="N399">
        <v>0</v>
      </c>
      <c r="O399">
        <v>2</v>
      </c>
      <c r="P399">
        <v>0.5</v>
      </c>
      <c r="Q399">
        <v>0</v>
      </c>
      <c r="R399">
        <v>0.1</v>
      </c>
      <c r="S399">
        <v>0.5</v>
      </c>
      <c r="T399">
        <v>0.24</v>
      </c>
      <c r="U399">
        <v>0</v>
      </c>
      <c r="V399">
        <v>0.24</v>
      </c>
      <c r="W399">
        <v>2.48</v>
      </c>
      <c r="X399">
        <v>0</v>
      </c>
      <c r="Y399" t="s">
        <v>1000</v>
      </c>
      <c r="Z399">
        <v>130</v>
      </c>
      <c r="AA399">
        <v>83</v>
      </c>
      <c r="AB399">
        <v>336</v>
      </c>
      <c r="AC399">
        <v>165</v>
      </c>
      <c r="AD399">
        <v>424</v>
      </c>
      <c r="AE399">
        <v>203</v>
      </c>
      <c r="AF399">
        <v>428</v>
      </c>
      <c r="AG399">
        <v>148</v>
      </c>
      <c r="AH399">
        <f>fpl_player_statistics_cleaned[[#This Row],[Total Points]] / fpl_player_statistics_cleaned[[#This Row],[Now Cost]]</f>
        <v>0.5357142857142857</v>
      </c>
      <c r="AI399">
        <f>fpl_player_statistics_cleaned[[#This Row],[Goals Scored]] + fpl_player_statistics_cleaned[[#This Row],[Assists]]</f>
        <v>0</v>
      </c>
      <c r="AJ399" t="e">
        <f>fpl_player_statistics_cleaned[[#This Row],[Total Points]] / fpl_player_statistics_cleaned[[#This Row],[Starts]]</f>
        <v>#DIV/0!</v>
      </c>
      <c r="AK399">
        <f>((fpl_player_statistics_cleaned[[#This Row],[Points Per Game]]) * fpl_player_statistics_cleaned[[#This Row],[Form]]) / fpl_player_statistics_cleaned[[#This Row],[Now Cost]]</f>
        <v>8.9285714285714288E-2</v>
      </c>
      <c r="AL399">
        <f>fpl_player_statistics_cleaned[[#This Row],[Minutes]] / fpl_player_statistics_cleaned[[#This Row],[Total Points]]</f>
        <v>17</v>
      </c>
      <c r="AM39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0.26785714285714285</v>
      </c>
    </row>
    <row r="400" spans="1:39" x14ac:dyDescent="0.2">
      <c r="A400" t="s">
        <v>432</v>
      </c>
      <c r="B400" t="s">
        <v>57</v>
      </c>
      <c r="C400" t="s">
        <v>41</v>
      </c>
      <c r="D400">
        <v>5.4</v>
      </c>
      <c r="E400">
        <v>3</v>
      </c>
      <c r="F400">
        <v>0.8</v>
      </c>
      <c r="G400">
        <v>0</v>
      </c>
      <c r="H400">
        <v>0</v>
      </c>
      <c r="I400">
        <v>0</v>
      </c>
      <c r="J400">
        <v>62</v>
      </c>
      <c r="K400">
        <v>0</v>
      </c>
      <c r="L400">
        <v>1</v>
      </c>
      <c r="M400">
        <v>0</v>
      </c>
      <c r="N400">
        <v>0</v>
      </c>
      <c r="O400">
        <v>0.5</v>
      </c>
      <c r="P400">
        <v>0</v>
      </c>
      <c r="Q400">
        <v>0</v>
      </c>
      <c r="R400">
        <v>0</v>
      </c>
      <c r="S400">
        <v>0.6</v>
      </c>
      <c r="T400">
        <v>0</v>
      </c>
      <c r="U400">
        <v>0</v>
      </c>
      <c r="V400">
        <v>0</v>
      </c>
      <c r="W400">
        <v>1.64</v>
      </c>
      <c r="X400">
        <v>1</v>
      </c>
      <c r="Y400" t="s">
        <v>1000</v>
      </c>
      <c r="Z400">
        <v>180</v>
      </c>
      <c r="AA400">
        <v>112</v>
      </c>
      <c r="AB400">
        <v>717</v>
      </c>
      <c r="AC400">
        <v>311</v>
      </c>
      <c r="AD400">
        <v>439</v>
      </c>
      <c r="AE400">
        <v>208</v>
      </c>
      <c r="AF400">
        <v>645</v>
      </c>
      <c r="AG400">
        <v>266</v>
      </c>
      <c r="AH400">
        <f>fpl_player_statistics_cleaned[[#This Row],[Total Points]] / fpl_player_statistics_cleaned[[#This Row],[Now Cost]]</f>
        <v>0.55555555555555547</v>
      </c>
      <c r="AI400">
        <f>fpl_player_statistics_cleaned[[#This Row],[Goals Scored]] + fpl_player_statistics_cleaned[[#This Row],[Assists]]</f>
        <v>0</v>
      </c>
      <c r="AJ400">
        <f>fpl_player_statistics_cleaned[[#This Row],[Total Points]] / fpl_player_statistics_cleaned[[#This Row],[Starts]]</f>
        <v>3</v>
      </c>
      <c r="AK400">
        <f>((fpl_player_statistics_cleaned[[#This Row],[Points Per Game]]) * fpl_player_statistics_cleaned[[#This Row],[Form]]) / fpl_player_statistics_cleaned[[#This Row],[Now Cost]]</f>
        <v>0</v>
      </c>
      <c r="AL400">
        <f>fpl_player_statistics_cleaned[[#This Row],[Minutes]] / fpl_player_statistics_cleaned[[#This Row],[Total Points]]</f>
        <v>20.666666666666668</v>
      </c>
      <c r="AM40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01" spans="1:39" x14ac:dyDescent="0.2">
      <c r="A401" t="s">
        <v>433</v>
      </c>
      <c r="B401" t="s">
        <v>97</v>
      </c>
      <c r="C401" t="s">
        <v>41</v>
      </c>
      <c r="D401">
        <v>4.9000000000000004</v>
      </c>
      <c r="E401">
        <v>3</v>
      </c>
      <c r="F401">
        <v>1</v>
      </c>
      <c r="G401">
        <v>0</v>
      </c>
      <c r="H401">
        <v>0</v>
      </c>
      <c r="I401">
        <v>0</v>
      </c>
      <c r="J401">
        <v>54</v>
      </c>
      <c r="K401">
        <v>0</v>
      </c>
      <c r="L401">
        <v>1</v>
      </c>
      <c r="M401">
        <v>0</v>
      </c>
      <c r="N401">
        <v>0</v>
      </c>
      <c r="O401">
        <v>0.4</v>
      </c>
      <c r="P401">
        <v>0</v>
      </c>
      <c r="Q401">
        <v>0</v>
      </c>
      <c r="R401">
        <v>0</v>
      </c>
      <c r="S401">
        <v>0.6</v>
      </c>
      <c r="T401">
        <v>7.0000000000000007E-2</v>
      </c>
      <c r="U401">
        <v>0</v>
      </c>
      <c r="V401">
        <v>7.0000000000000007E-2</v>
      </c>
      <c r="W401">
        <v>0.88</v>
      </c>
      <c r="X401">
        <v>0</v>
      </c>
      <c r="Y401" t="s">
        <v>1000</v>
      </c>
      <c r="Z401">
        <v>344</v>
      </c>
      <c r="AA401">
        <v>218</v>
      </c>
      <c r="AB401">
        <v>677</v>
      </c>
      <c r="AC401">
        <v>283</v>
      </c>
      <c r="AD401">
        <v>406</v>
      </c>
      <c r="AE401">
        <v>191</v>
      </c>
      <c r="AF401">
        <v>656</v>
      </c>
      <c r="AG401">
        <v>273</v>
      </c>
      <c r="AH401">
        <f>fpl_player_statistics_cleaned[[#This Row],[Total Points]] / fpl_player_statistics_cleaned[[#This Row],[Now Cost]]</f>
        <v>0.61224489795918358</v>
      </c>
      <c r="AI401">
        <f>fpl_player_statistics_cleaned[[#This Row],[Goals Scored]] + fpl_player_statistics_cleaned[[#This Row],[Assists]]</f>
        <v>0</v>
      </c>
      <c r="AJ401" t="e">
        <f>fpl_player_statistics_cleaned[[#This Row],[Total Points]] / fpl_player_statistics_cleaned[[#This Row],[Starts]]</f>
        <v>#DIV/0!</v>
      </c>
      <c r="AK401">
        <f>((fpl_player_statistics_cleaned[[#This Row],[Points Per Game]]) * fpl_player_statistics_cleaned[[#This Row],[Form]]) / fpl_player_statistics_cleaned[[#This Row],[Now Cost]]</f>
        <v>0</v>
      </c>
      <c r="AL401">
        <f>fpl_player_statistics_cleaned[[#This Row],[Minutes]] / fpl_player_statistics_cleaned[[#This Row],[Total Points]]</f>
        <v>18</v>
      </c>
      <c r="AM40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02" spans="1:39" x14ac:dyDescent="0.2">
      <c r="A402" t="s">
        <v>957</v>
      </c>
      <c r="B402" t="s">
        <v>70</v>
      </c>
      <c r="C402" t="s">
        <v>38</v>
      </c>
      <c r="D402">
        <v>4.5</v>
      </c>
      <c r="E402">
        <v>3</v>
      </c>
      <c r="F402">
        <v>1</v>
      </c>
      <c r="G402">
        <v>0</v>
      </c>
      <c r="H402">
        <v>0</v>
      </c>
      <c r="I402">
        <v>0</v>
      </c>
      <c r="J402">
        <v>21</v>
      </c>
      <c r="K402">
        <v>0</v>
      </c>
      <c r="L402">
        <v>0</v>
      </c>
      <c r="M402">
        <v>0</v>
      </c>
      <c r="N402">
        <v>0</v>
      </c>
      <c r="O402">
        <v>0.4</v>
      </c>
      <c r="P402">
        <v>0</v>
      </c>
      <c r="Q402">
        <v>0</v>
      </c>
      <c r="R402">
        <v>0</v>
      </c>
      <c r="S402">
        <v>0.7</v>
      </c>
      <c r="T402">
        <v>0</v>
      </c>
      <c r="U402">
        <v>0</v>
      </c>
      <c r="V402">
        <v>0</v>
      </c>
      <c r="W402">
        <v>0.64</v>
      </c>
      <c r="X402">
        <v>0</v>
      </c>
      <c r="Y402" t="s">
        <v>1000</v>
      </c>
      <c r="Z402">
        <v>403</v>
      </c>
      <c r="AA402">
        <v>76</v>
      </c>
      <c r="AB402">
        <v>582</v>
      </c>
      <c r="AC402">
        <v>224</v>
      </c>
      <c r="AD402">
        <v>382</v>
      </c>
      <c r="AE402">
        <v>137</v>
      </c>
      <c r="AF402">
        <v>604</v>
      </c>
      <c r="AG402">
        <v>212</v>
      </c>
      <c r="AH402">
        <f>fpl_player_statistics_cleaned[[#This Row],[Total Points]] / fpl_player_statistics_cleaned[[#This Row],[Now Cost]]</f>
        <v>0.66666666666666663</v>
      </c>
      <c r="AI402">
        <f>fpl_player_statistics_cleaned[[#This Row],[Goals Scored]] + fpl_player_statistics_cleaned[[#This Row],[Assists]]</f>
        <v>0</v>
      </c>
      <c r="AJ402" t="e">
        <f>fpl_player_statistics_cleaned[[#This Row],[Total Points]] / fpl_player_statistics_cleaned[[#This Row],[Starts]]</f>
        <v>#DIV/0!</v>
      </c>
      <c r="AK402">
        <f>((fpl_player_statistics_cleaned[[#This Row],[Points Per Game]]) * fpl_player_statistics_cleaned[[#This Row],[Form]]) / fpl_player_statistics_cleaned[[#This Row],[Now Cost]]</f>
        <v>0</v>
      </c>
      <c r="AL402">
        <f>fpl_player_statistics_cleaned[[#This Row],[Minutes]] / fpl_player_statistics_cleaned[[#This Row],[Total Points]]</f>
        <v>7</v>
      </c>
      <c r="AM40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03" spans="1:39" x14ac:dyDescent="0.2">
      <c r="A403" t="s">
        <v>434</v>
      </c>
      <c r="B403" t="s">
        <v>65</v>
      </c>
      <c r="C403" t="s">
        <v>38</v>
      </c>
      <c r="D403">
        <v>3.9</v>
      </c>
      <c r="E403">
        <v>3</v>
      </c>
      <c r="F403">
        <v>1</v>
      </c>
      <c r="G403">
        <v>0.1</v>
      </c>
      <c r="H403">
        <v>0</v>
      </c>
      <c r="I403">
        <v>0</v>
      </c>
      <c r="J403">
        <v>102</v>
      </c>
      <c r="K403">
        <v>0</v>
      </c>
      <c r="L403">
        <v>4</v>
      </c>
      <c r="M403">
        <v>0</v>
      </c>
      <c r="N403">
        <v>0</v>
      </c>
      <c r="O403">
        <v>3</v>
      </c>
      <c r="P403">
        <v>0</v>
      </c>
      <c r="Q403">
        <v>0</v>
      </c>
      <c r="R403">
        <v>0</v>
      </c>
      <c r="S403">
        <v>0.8</v>
      </c>
      <c r="T403">
        <v>0.03</v>
      </c>
      <c r="U403">
        <v>0.08</v>
      </c>
      <c r="V403">
        <v>0.11</v>
      </c>
      <c r="W403">
        <v>3.31</v>
      </c>
      <c r="X403">
        <v>1</v>
      </c>
      <c r="Y403" t="s">
        <v>1000</v>
      </c>
      <c r="Z403">
        <v>731</v>
      </c>
      <c r="AA403">
        <v>229</v>
      </c>
      <c r="AB403">
        <v>419</v>
      </c>
      <c r="AC403">
        <v>156</v>
      </c>
      <c r="AD403">
        <v>373</v>
      </c>
      <c r="AE403">
        <v>131</v>
      </c>
      <c r="AF403">
        <v>417</v>
      </c>
      <c r="AG403">
        <v>155</v>
      </c>
      <c r="AH403">
        <f>fpl_player_statistics_cleaned[[#This Row],[Total Points]] / fpl_player_statistics_cleaned[[#This Row],[Now Cost]]</f>
        <v>0.76923076923076927</v>
      </c>
      <c r="AI403">
        <f>fpl_player_statistics_cleaned[[#This Row],[Goals Scored]] + fpl_player_statistics_cleaned[[#This Row],[Assists]]</f>
        <v>0</v>
      </c>
      <c r="AJ403">
        <f>fpl_player_statistics_cleaned[[#This Row],[Total Points]] / fpl_player_statistics_cleaned[[#This Row],[Starts]]</f>
        <v>3</v>
      </c>
      <c r="AK403">
        <f>((fpl_player_statistics_cleaned[[#This Row],[Points Per Game]]) * fpl_player_statistics_cleaned[[#This Row],[Form]]) / fpl_player_statistics_cleaned[[#This Row],[Now Cost]]</f>
        <v>0</v>
      </c>
      <c r="AL403">
        <f>fpl_player_statistics_cleaned[[#This Row],[Minutes]] / fpl_player_statistics_cleaned[[#This Row],[Total Points]]</f>
        <v>34</v>
      </c>
      <c r="AM40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04" spans="1:39" x14ac:dyDescent="0.2">
      <c r="A404" t="s">
        <v>435</v>
      </c>
      <c r="B404" t="s">
        <v>65</v>
      </c>
      <c r="C404" t="s">
        <v>41</v>
      </c>
      <c r="D404">
        <v>4.7</v>
      </c>
      <c r="E404">
        <v>3</v>
      </c>
      <c r="F404">
        <v>1</v>
      </c>
      <c r="G404">
        <v>0.1</v>
      </c>
      <c r="H404">
        <v>0</v>
      </c>
      <c r="I404">
        <v>0</v>
      </c>
      <c r="J404">
        <v>22</v>
      </c>
      <c r="K404">
        <v>0</v>
      </c>
      <c r="L404">
        <v>1</v>
      </c>
      <c r="M404">
        <v>0</v>
      </c>
      <c r="N404">
        <v>0</v>
      </c>
      <c r="O404">
        <v>2.6</v>
      </c>
      <c r="P404">
        <v>0.5</v>
      </c>
      <c r="Q404">
        <v>0</v>
      </c>
      <c r="R404">
        <v>0.1</v>
      </c>
      <c r="S404">
        <v>0.6</v>
      </c>
      <c r="T404">
        <v>0.1</v>
      </c>
      <c r="U404">
        <v>0.01</v>
      </c>
      <c r="V404">
        <v>0.11</v>
      </c>
      <c r="W404">
        <v>1.01</v>
      </c>
      <c r="X404">
        <v>0</v>
      </c>
      <c r="Y404" t="s">
        <v>1000</v>
      </c>
      <c r="Z404">
        <v>378</v>
      </c>
      <c r="AA404">
        <v>237</v>
      </c>
      <c r="AB404">
        <v>313</v>
      </c>
      <c r="AC404">
        <v>154</v>
      </c>
      <c r="AD404">
        <v>392</v>
      </c>
      <c r="AE404">
        <v>181</v>
      </c>
      <c r="AF404">
        <v>550</v>
      </c>
      <c r="AG404">
        <v>204</v>
      </c>
      <c r="AH404">
        <f>fpl_player_statistics_cleaned[[#This Row],[Total Points]] / fpl_player_statistics_cleaned[[#This Row],[Now Cost]]</f>
        <v>0.63829787234042545</v>
      </c>
      <c r="AI404">
        <f>fpl_player_statistics_cleaned[[#This Row],[Goals Scored]] + fpl_player_statistics_cleaned[[#This Row],[Assists]]</f>
        <v>0</v>
      </c>
      <c r="AJ404" t="e">
        <f>fpl_player_statistics_cleaned[[#This Row],[Total Points]] / fpl_player_statistics_cleaned[[#This Row],[Starts]]</f>
        <v>#DIV/0!</v>
      </c>
      <c r="AK404">
        <f>((fpl_player_statistics_cleaned[[#This Row],[Points Per Game]]) * fpl_player_statistics_cleaned[[#This Row],[Form]]) / fpl_player_statistics_cleaned[[#This Row],[Now Cost]]</f>
        <v>0.10638297872340426</v>
      </c>
      <c r="AL404">
        <f>fpl_player_statistics_cleaned[[#This Row],[Minutes]] / fpl_player_statistics_cleaned[[#This Row],[Total Points]]</f>
        <v>7.333333333333333</v>
      </c>
      <c r="AM40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0.31914893617021273</v>
      </c>
    </row>
    <row r="405" spans="1:39" x14ac:dyDescent="0.2">
      <c r="A405" t="s">
        <v>436</v>
      </c>
      <c r="B405" t="s">
        <v>97</v>
      </c>
      <c r="C405" t="s">
        <v>41</v>
      </c>
      <c r="D405">
        <v>4.8</v>
      </c>
      <c r="E405">
        <v>3</v>
      </c>
      <c r="F405">
        <v>1.5</v>
      </c>
      <c r="G405">
        <v>0</v>
      </c>
      <c r="H405">
        <v>0</v>
      </c>
      <c r="I405">
        <v>0</v>
      </c>
      <c r="J405">
        <v>89</v>
      </c>
      <c r="K405">
        <v>0</v>
      </c>
      <c r="L405">
        <v>2</v>
      </c>
      <c r="M405">
        <v>0</v>
      </c>
      <c r="N405">
        <v>0</v>
      </c>
      <c r="O405">
        <v>0.8</v>
      </c>
      <c r="P405">
        <v>0.2</v>
      </c>
      <c r="Q405">
        <v>0</v>
      </c>
      <c r="R405">
        <v>0</v>
      </c>
      <c r="S405">
        <v>0.6</v>
      </c>
      <c r="T405">
        <v>0.03</v>
      </c>
      <c r="U405">
        <v>0.03</v>
      </c>
      <c r="V405">
        <v>0.06</v>
      </c>
      <c r="W405">
        <v>0.97</v>
      </c>
      <c r="X405">
        <v>1</v>
      </c>
      <c r="Y405" t="s">
        <v>1000</v>
      </c>
      <c r="Z405">
        <v>354</v>
      </c>
      <c r="AA405">
        <v>225</v>
      </c>
      <c r="AB405">
        <v>362</v>
      </c>
      <c r="AC405">
        <v>171</v>
      </c>
      <c r="AD405">
        <v>327</v>
      </c>
      <c r="AE405">
        <v>152</v>
      </c>
      <c r="AF405">
        <v>579</v>
      </c>
      <c r="AG405">
        <v>218</v>
      </c>
      <c r="AH405">
        <f>fpl_player_statistics_cleaned[[#This Row],[Total Points]] / fpl_player_statistics_cleaned[[#This Row],[Now Cost]]</f>
        <v>0.625</v>
      </c>
      <c r="AI405">
        <f>fpl_player_statistics_cleaned[[#This Row],[Goals Scored]] + fpl_player_statistics_cleaned[[#This Row],[Assists]]</f>
        <v>0</v>
      </c>
      <c r="AJ405">
        <f>fpl_player_statistics_cleaned[[#This Row],[Total Points]] / fpl_player_statistics_cleaned[[#This Row],[Starts]]</f>
        <v>3</v>
      </c>
      <c r="AK405">
        <f>((fpl_player_statistics_cleaned[[#This Row],[Points Per Game]]) * fpl_player_statistics_cleaned[[#This Row],[Form]]) / fpl_player_statistics_cleaned[[#This Row],[Now Cost]]</f>
        <v>6.2500000000000014E-2</v>
      </c>
      <c r="AL405">
        <f>fpl_player_statistics_cleaned[[#This Row],[Minutes]] / fpl_player_statistics_cleaned[[#This Row],[Total Points]]</f>
        <v>29.666666666666668</v>
      </c>
      <c r="AM40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0.18750000000000006</v>
      </c>
    </row>
    <row r="406" spans="1:39" x14ac:dyDescent="0.2">
      <c r="A406" t="s">
        <v>437</v>
      </c>
      <c r="B406" t="s">
        <v>97</v>
      </c>
      <c r="C406" t="s">
        <v>38</v>
      </c>
      <c r="D406">
        <v>4.5</v>
      </c>
      <c r="E406">
        <v>3</v>
      </c>
      <c r="F406">
        <v>1</v>
      </c>
      <c r="G406">
        <v>0.1</v>
      </c>
      <c r="H406">
        <v>0</v>
      </c>
      <c r="I406">
        <v>0</v>
      </c>
      <c r="J406">
        <v>13</v>
      </c>
      <c r="K406">
        <v>0</v>
      </c>
      <c r="L406">
        <v>1</v>
      </c>
      <c r="M406">
        <v>0</v>
      </c>
      <c r="N406">
        <v>0</v>
      </c>
      <c r="O406">
        <v>1.3</v>
      </c>
      <c r="P406">
        <v>0.5</v>
      </c>
      <c r="Q406">
        <v>0</v>
      </c>
      <c r="R406">
        <v>0.1</v>
      </c>
      <c r="S406">
        <v>0.7</v>
      </c>
      <c r="T406">
        <v>0</v>
      </c>
      <c r="U406">
        <v>0</v>
      </c>
      <c r="V406">
        <v>0</v>
      </c>
      <c r="W406">
        <v>0.61</v>
      </c>
      <c r="X406">
        <v>0</v>
      </c>
      <c r="Y406" t="s">
        <v>1000</v>
      </c>
      <c r="Z406">
        <v>409</v>
      </c>
      <c r="AA406">
        <v>79</v>
      </c>
      <c r="AB406">
        <v>311</v>
      </c>
      <c r="AC406">
        <v>105</v>
      </c>
      <c r="AD406">
        <v>383</v>
      </c>
      <c r="AE406">
        <v>138</v>
      </c>
      <c r="AF406">
        <v>528</v>
      </c>
      <c r="AG406">
        <v>190</v>
      </c>
      <c r="AH406">
        <f>fpl_player_statistics_cleaned[[#This Row],[Total Points]] / fpl_player_statistics_cleaned[[#This Row],[Now Cost]]</f>
        <v>0.66666666666666663</v>
      </c>
      <c r="AI406">
        <f>fpl_player_statistics_cleaned[[#This Row],[Goals Scored]] + fpl_player_statistics_cleaned[[#This Row],[Assists]]</f>
        <v>0</v>
      </c>
      <c r="AJ406" t="e">
        <f>fpl_player_statistics_cleaned[[#This Row],[Total Points]] / fpl_player_statistics_cleaned[[#This Row],[Starts]]</f>
        <v>#DIV/0!</v>
      </c>
      <c r="AK406">
        <f>((fpl_player_statistics_cleaned[[#This Row],[Points Per Game]]) * fpl_player_statistics_cleaned[[#This Row],[Form]]) / fpl_player_statistics_cleaned[[#This Row],[Now Cost]]</f>
        <v>0.1111111111111111</v>
      </c>
      <c r="AL406">
        <f>fpl_player_statistics_cleaned[[#This Row],[Minutes]] / fpl_player_statistics_cleaned[[#This Row],[Total Points]]</f>
        <v>4.333333333333333</v>
      </c>
      <c r="AM40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0.33333333333333331</v>
      </c>
    </row>
    <row r="407" spans="1:39" x14ac:dyDescent="0.2">
      <c r="A407" t="s">
        <v>438</v>
      </c>
      <c r="B407" t="s">
        <v>122</v>
      </c>
      <c r="C407" t="s">
        <v>38</v>
      </c>
      <c r="D407">
        <v>4.3</v>
      </c>
      <c r="E407">
        <v>3</v>
      </c>
      <c r="F407">
        <v>3</v>
      </c>
      <c r="G407">
        <v>0.1</v>
      </c>
      <c r="H407">
        <v>0</v>
      </c>
      <c r="I407">
        <v>0</v>
      </c>
      <c r="J407">
        <v>90</v>
      </c>
      <c r="K407">
        <v>0</v>
      </c>
      <c r="L407">
        <v>2</v>
      </c>
      <c r="M407">
        <v>0</v>
      </c>
      <c r="N407">
        <v>0</v>
      </c>
      <c r="O407">
        <v>2.6</v>
      </c>
      <c r="P407">
        <v>0</v>
      </c>
      <c r="Q407">
        <v>0</v>
      </c>
      <c r="R407">
        <v>0</v>
      </c>
      <c r="S407">
        <v>0.7</v>
      </c>
      <c r="T407">
        <v>0</v>
      </c>
      <c r="U407">
        <v>0</v>
      </c>
      <c r="V407">
        <v>0</v>
      </c>
      <c r="W407">
        <v>3.28</v>
      </c>
      <c r="X407">
        <v>1</v>
      </c>
      <c r="Y407" t="s">
        <v>1000</v>
      </c>
      <c r="Z407">
        <v>603</v>
      </c>
      <c r="AA407">
        <v>154</v>
      </c>
      <c r="AB407">
        <v>524</v>
      </c>
      <c r="AC407">
        <v>216</v>
      </c>
      <c r="AD407">
        <v>162</v>
      </c>
      <c r="AE407">
        <v>59</v>
      </c>
      <c r="AF407">
        <v>545</v>
      </c>
      <c r="AG407">
        <v>196</v>
      </c>
      <c r="AH407">
        <f>fpl_player_statistics_cleaned[[#This Row],[Total Points]] / fpl_player_statistics_cleaned[[#This Row],[Now Cost]]</f>
        <v>0.69767441860465118</v>
      </c>
      <c r="AI407">
        <f>fpl_player_statistics_cleaned[[#This Row],[Goals Scored]] + fpl_player_statistics_cleaned[[#This Row],[Assists]]</f>
        <v>0</v>
      </c>
      <c r="AJ407">
        <f>fpl_player_statistics_cleaned[[#This Row],[Total Points]] / fpl_player_statistics_cleaned[[#This Row],[Starts]]</f>
        <v>3</v>
      </c>
      <c r="AK407">
        <f>((fpl_player_statistics_cleaned[[#This Row],[Points Per Game]]) * fpl_player_statistics_cleaned[[#This Row],[Form]]) / fpl_player_statistics_cleaned[[#This Row],[Now Cost]]</f>
        <v>0</v>
      </c>
      <c r="AL407">
        <f>fpl_player_statistics_cleaned[[#This Row],[Minutes]] / fpl_player_statistics_cleaned[[#This Row],[Total Points]]</f>
        <v>30</v>
      </c>
      <c r="AM40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08" spans="1:39" x14ac:dyDescent="0.2">
      <c r="A408" t="s">
        <v>439</v>
      </c>
      <c r="B408" t="s">
        <v>97</v>
      </c>
      <c r="C408" t="s">
        <v>35</v>
      </c>
      <c r="D408">
        <v>4.4000000000000004</v>
      </c>
      <c r="E408">
        <v>2</v>
      </c>
      <c r="F408">
        <v>1</v>
      </c>
      <c r="G408">
        <v>0.7</v>
      </c>
      <c r="H408">
        <v>0</v>
      </c>
      <c r="I408">
        <v>0</v>
      </c>
      <c r="J408">
        <v>58</v>
      </c>
      <c r="K408">
        <v>0</v>
      </c>
      <c r="L408">
        <v>2</v>
      </c>
      <c r="M408">
        <v>0</v>
      </c>
      <c r="N408">
        <v>0</v>
      </c>
      <c r="O408">
        <v>0.8</v>
      </c>
      <c r="P408">
        <v>0.2</v>
      </c>
      <c r="Q408">
        <v>0</v>
      </c>
      <c r="R408">
        <v>0</v>
      </c>
      <c r="S408">
        <v>0.5</v>
      </c>
      <c r="T408">
        <v>0.13</v>
      </c>
      <c r="U408">
        <v>0</v>
      </c>
      <c r="V408">
        <v>0.13</v>
      </c>
      <c r="W408">
        <v>1.55</v>
      </c>
      <c r="X408">
        <v>0</v>
      </c>
      <c r="Y408" t="s">
        <v>1000</v>
      </c>
      <c r="Z408">
        <v>555</v>
      </c>
      <c r="AA408">
        <v>75</v>
      </c>
      <c r="AB408">
        <v>357</v>
      </c>
      <c r="AC408">
        <v>43</v>
      </c>
      <c r="AD408">
        <v>381</v>
      </c>
      <c r="AE408">
        <v>42</v>
      </c>
      <c r="AF408">
        <v>209</v>
      </c>
      <c r="AG408">
        <v>33</v>
      </c>
      <c r="AH408">
        <f>fpl_player_statistics_cleaned[[#This Row],[Total Points]] / fpl_player_statistics_cleaned[[#This Row],[Now Cost]]</f>
        <v>0.45454545454545453</v>
      </c>
      <c r="AI408">
        <f>fpl_player_statistics_cleaned[[#This Row],[Goals Scored]] + fpl_player_statistics_cleaned[[#This Row],[Assists]]</f>
        <v>0</v>
      </c>
      <c r="AJ408" t="e">
        <f>fpl_player_statistics_cleaned[[#This Row],[Total Points]] / fpl_player_statistics_cleaned[[#This Row],[Starts]]</f>
        <v>#DIV/0!</v>
      </c>
      <c r="AK408">
        <f>((fpl_player_statistics_cleaned[[#This Row],[Points Per Game]]) * fpl_player_statistics_cleaned[[#This Row],[Form]]) / fpl_player_statistics_cleaned[[#This Row],[Now Cost]]</f>
        <v>4.5454545454545456E-2</v>
      </c>
      <c r="AL408">
        <f>fpl_player_statistics_cleaned[[#This Row],[Minutes]] / fpl_player_statistics_cleaned[[#This Row],[Total Points]]</f>
        <v>29</v>
      </c>
      <c r="AM40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9.0909090909090912E-2</v>
      </c>
    </row>
    <row r="409" spans="1:39" x14ac:dyDescent="0.2">
      <c r="A409" t="s">
        <v>958</v>
      </c>
      <c r="B409" t="s">
        <v>57</v>
      </c>
      <c r="C409" t="s">
        <v>38</v>
      </c>
      <c r="D409">
        <v>4.3</v>
      </c>
      <c r="E409">
        <v>2</v>
      </c>
      <c r="F409">
        <v>1</v>
      </c>
      <c r="G409">
        <v>0.1</v>
      </c>
      <c r="H409">
        <v>0</v>
      </c>
      <c r="I409">
        <v>0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0.5</v>
      </c>
      <c r="T409">
        <v>0</v>
      </c>
      <c r="U409">
        <v>0</v>
      </c>
      <c r="V409">
        <v>0</v>
      </c>
      <c r="W409">
        <v>0.24</v>
      </c>
      <c r="X409">
        <v>0</v>
      </c>
      <c r="Y409" t="s">
        <v>1000</v>
      </c>
      <c r="Z409">
        <v>569</v>
      </c>
      <c r="AA409">
        <v>132</v>
      </c>
      <c r="AB409">
        <v>507</v>
      </c>
      <c r="AC409">
        <v>208</v>
      </c>
      <c r="AD409">
        <v>378</v>
      </c>
      <c r="AE409">
        <v>135</v>
      </c>
      <c r="AF409">
        <v>434</v>
      </c>
      <c r="AG409">
        <v>159</v>
      </c>
      <c r="AH409">
        <f>fpl_player_statistics_cleaned[[#This Row],[Total Points]] / fpl_player_statistics_cleaned[[#This Row],[Now Cost]]</f>
        <v>0.46511627906976744</v>
      </c>
      <c r="AI409">
        <f>fpl_player_statistics_cleaned[[#This Row],[Goals Scored]] + fpl_player_statistics_cleaned[[#This Row],[Assists]]</f>
        <v>0</v>
      </c>
      <c r="AJ409" t="e">
        <f>fpl_player_statistics_cleaned[[#This Row],[Total Points]] / fpl_player_statistics_cleaned[[#This Row],[Starts]]</f>
        <v>#DIV/0!</v>
      </c>
      <c r="AK409">
        <f>((fpl_player_statistics_cleaned[[#This Row],[Points Per Game]]) * fpl_player_statistics_cleaned[[#This Row],[Form]]) / fpl_player_statistics_cleaned[[#This Row],[Now Cost]]</f>
        <v>0</v>
      </c>
      <c r="AL409">
        <f>fpl_player_statistics_cleaned[[#This Row],[Minutes]] / fpl_player_statistics_cleaned[[#This Row],[Total Points]]</f>
        <v>1</v>
      </c>
      <c r="AM40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10" spans="1:39" x14ac:dyDescent="0.2">
      <c r="A410" t="s">
        <v>959</v>
      </c>
      <c r="B410" t="s">
        <v>122</v>
      </c>
      <c r="C410" t="s">
        <v>41</v>
      </c>
      <c r="D410">
        <v>5</v>
      </c>
      <c r="E410">
        <v>2</v>
      </c>
      <c r="F410">
        <v>0.7</v>
      </c>
      <c r="G410">
        <v>0</v>
      </c>
      <c r="H410">
        <v>0</v>
      </c>
      <c r="I410">
        <v>0</v>
      </c>
      <c r="J410">
        <v>110</v>
      </c>
      <c r="K410">
        <v>0</v>
      </c>
      <c r="L410">
        <v>2</v>
      </c>
      <c r="M410">
        <v>0</v>
      </c>
      <c r="N410">
        <v>0</v>
      </c>
      <c r="O410">
        <v>6.3</v>
      </c>
      <c r="P410">
        <v>0.5</v>
      </c>
      <c r="Q410">
        <v>0</v>
      </c>
      <c r="R410">
        <v>0.1</v>
      </c>
      <c r="S410">
        <v>0.4</v>
      </c>
      <c r="T410">
        <v>0</v>
      </c>
      <c r="U410">
        <v>0.15</v>
      </c>
      <c r="V410">
        <v>0.15</v>
      </c>
      <c r="W410">
        <v>0.52</v>
      </c>
      <c r="X410">
        <v>2</v>
      </c>
      <c r="Y410" t="s">
        <v>1000</v>
      </c>
      <c r="Z410">
        <v>265</v>
      </c>
      <c r="AA410">
        <v>164</v>
      </c>
      <c r="AB410">
        <v>323</v>
      </c>
      <c r="AC410">
        <v>161</v>
      </c>
      <c r="AD410">
        <v>440</v>
      </c>
      <c r="AE410">
        <v>209</v>
      </c>
      <c r="AF410">
        <v>694</v>
      </c>
      <c r="AG410">
        <v>299</v>
      </c>
      <c r="AH410">
        <f>fpl_player_statistics_cleaned[[#This Row],[Total Points]] / fpl_player_statistics_cleaned[[#This Row],[Now Cost]]</f>
        <v>0.4</v>
      </c>
      <c r="AI410">
        <f>fpl_player_statistics_cleaned[[#This Row],[Goals Scored]] + fpl_player_statistics_cleaned[[#This Row],[Assists]]</f>
        <v>0</v>
      </c>
      <c r="AJ410">
        <f>fpl_player_statistics_cleaned[[#This Row],[Total Points]] / fpl_player_statistics_cleaned[[#This Row],[Starts]]</f>
        <v>1</v>
      </c>
      <c r="AK410">
        <f>((fpl_player_statistics_cleaned[[#This Row],[Points Per Game]]) * fpl_player_statistics_cleaned[[#This Row],[Form]]) / fpl_player_statistics_cleaned[[#This Row],[Now Cost]]</f>
        <v>6.9999999999999993E-2</v>
      </c>
      <c r="AL410">
        <f>fpl_player_statistics_cleaned[[#This Row],[Minutes]] / fpl_player_statistics_cleaned[[#This Row],[Total Points]]</f>
        <v>55</v>
      </c>
      <c r="AM41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0.13999999999999999</v>
      </c>
    </row>
    <row r="411" spans="1:39" x14ac:dyDescent="0.2">
      <c r="A411" t="s">
        <v>440</v>
      </c>
      <c r="B411" t="s">
        <v>37</v>
      </c>
      <c r="C411" t="s">
        <v>38</v>
      </c>
      <c r="D411">
        <v>5.4</v>
      </c>
      <c r="E411">
        <v>2</v>
      </c>
      <c r="F411">
        <v>1</v>
      </c>
      <c r="G411">
        <v>0</v>
      </c>
      <c r="H411">
        <v>0</v>
      </c>
      <c r="I411">
        <v>0</v>
      </c>
      <c r="J411">
        <v>26</v>
      </c>
      <c r="K411">
        <v>0</v>
      </c>
      <c r="L411">
        <v>0</v>
      </c>
      <c r="M411">
        <v>0</v>
      </c>
      <c r="N411">
        <v>0</v>
      </c>
      <c r="O411">
        <v>0.1</v>
      </c>
      <c r="P411">
        <v>0.5</v>
      </c>
      <c r="Q411">
        <v>0</v>
      </c>
      <c r="R411">
        <v>0.1</v>
      </c>
      <c r="S411">
        <v>0.4</v>
      </c>
      <c r="T411">
        <v>0</v>
      </c>
      <c r="U411">
        <v>0</v>
      </c>
      <c r="V411">
        <v>0</v>
      </c>
      <c r="W411">
        <v>0.41</v>
      </c>
      <c r="X411">
        <v>0</v>
      </c>
      <c r="Y411" t="s">
        <v>1000</v>
      </c>
      <c r="Z411">
        <v>176</v>
      </c>
      <c r="AA411">
        <v>22</v>
      </c>
      <c r="AB411">
        <v>333</v>
      </c>
      <c r="AC411">
        <v>111</v>
      </c>
      <c r="AD411">
        <v>420</v>
      </c>
      <c r="AE411">
        <v>143</v>
      </c>
      <c r="AF411">
        <v>628</v>
      </c>
      <c r="AG411">
        <v>218</v>
      </c>
      <c r="AH411">
        <f>fpl_player_statistics_cleaned[[#This Row],[Total Points]] / fpl_player_statistics_cleaned[[#This Row],[Now Cost]]</f>
        <v>0.37037037037037035</v>
      </c>
      <c r="AI411">
        <f>fpl_player_statistics_cleaned[[#This Row],[Goals Scored]] + fpl_player_statistics_cleaned[[#This Row],[Assists]]</f>
        <v>0</v>
      </c>
      <c r="AJ411" t="e">
        <f>fpl_player_statistics_cleaned[[#This Row],[Total Points]] / fpl_player_statistics_cleaned[[#This Row],[Starts]]</f>
        <v>#DIV/0!</v>
      </c>
      <c r="AK411">
        <f>((fpl_player_statistics_cleaned[[#This Row],[Points Per Game]]) * fpl_player_statistics_cleaned[[#This Row],[Form]]) / fpl_player_statistics_cleaned[[#This Row],[Now Cost]]</f>
        <v>9.2592592592592587E-2</v>
      </c>
      <c r="AL411">
        <f>fpl_player_statistics_cleaned[[#This Row],[Minutes]] / fpl_player_statistics_cleaned[[#This Row],[Total Points]]</f>
        <v>13</v>
      </c>
      <c r="AM41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0.18518518518518517</v>
      </c>
    </row>
    <row r="412" spans="1:39" hidden="1" x14ac:dyDescent="0.2">
      <c r="A412" t="s">
        <v>441</v>
      </c>
      <c r="B412" t="s">
        <v>153</v>
      </c>
      <c r="C412" t="s">
        <v>38</v>
      </c>
      <c r="D412">
        <v>4.4000000000000004</v>
      </c>
      <c r="E412">
        <v>2</v>
      </c>
      <c r="F412">
        <v>0.5</v>
      </c>
      <c r="G412">
        <v>0.1</v>
      </c>
      <c r="H412">
        <v>0</v>
      </c>
      <c r="I412">
        <v>0</v>
      </c>
      <c r="J412">
        <v>291</v>
      </c>
      <c r="K412">
        <v>0</v>
      </c>
      <c r="L412">
        <v>6</v>
      </c>
      <c r="M412">
        <v>0</v>
      </c>
      <c r="N412">
        <v>0</v>
      </c>
      <c r="O412">
        <v>7.6</v>
      </c>
      <c r="P412">
        <v>0.5</v>
      </c>
      <c r="Q412">
        <v>0</v>
      </c>
      <c r="R412">
        <v>0.1</v>
      </c>
      <c r="S412">
        <v>0.5</v>
      </c>
      <c r="T412">
        <v>7.0000000000000007E-2</v>
      </c>
      <c r="U412">
        <v>0.05</v>
      </c>
      <c r="V412">
        <v>0.12</v>
      </c>
      <c r="W412">
        <v>5.09</v>
      </c>
      <c r="X412">
        <v>4</v>
      </c>
      <c r="Y412" t="s">
        <v>142</v>
      </c>
      <c r="Z412">
        <v>493</v>
      </c>
      <c r="AA412">
        <v>104</v>
      </c>
      <c r="AB412">
        <v>309</v>
      </c>
      <c r="AC412">
        <v>103</v>
      </c>
      <c r="AD412">
        <v>442</v>
      </c>
      <c r="AE412">
        <v>151</v>
      </c>
      <c r="AF412">
        <v>468</v>
      </c>
      <c r="AG412">
        <v>172</v>
      </c>
      <c r="AI412">
        <v>0</v>
      </c>
    </row>
    <row r="413" spans="1:39" x14ac:dyDescent="0.2">
      <c r="A413" t="s">
        <v>442</v>
      </c>
      <c r="B413" t="s">
        <v>46</v>
      </c>
      <c r="C413" t="s">
        <v>41</v>
      </c>
      <c r="D413">
        <v>4.8</v>
      </c>
      <c r="E413">
        <v>2</v>
      </c>
      <c r="F413">
        <v>1</v>
      </c>
      <c r="G413">
        <v>0.1</v>
      </c>
      <c r="H413">
        <v>0</v>
      </c>
      <c r="I413">
        <v>0</v>
      </c>
      <c r="J413">
        <v>16</v>
      </c>
      <c r="K413">
        <v>0</v>
      </c>
      <c r="L413">
        <v>0</v>
      </c>
      <c r="M413">
        <v>0</v>
      </c>
      <c r="N413">
        <v>0</v>
      </c>
      <c r="O413">
        <v>2</v>
      </c>
      <c r="P413">
        <v>0.5</v>
      </c>
      <c r="Q413">
        <v>0</v>
      </c>
      <c r="R413">
        <v>0.1</v>
      </c>
      <c r="S413">
        <v>0.4</v>
      </c>
      <c r="T413">
        <v>0.06</v>
      </c>
      <c r="U413">
        <v>0.05</v>
      </c>
      <c r="V413">
        <v>0.11</v>
      </c>
      <c r="W413">
        <v>0.04</v>
      </c>
      <c r="X413">
        <v>0</v>
      </c>
      <c r="Y413" t="s">
        <v>1000</v>
      </c>
      <c r="Z413">
        <v>355</v>
      </c>
      <c r="AA413">
        <v>226</v>
      </c>
      <c r="AB413">
        <v>315</v>
      </c>
      <c r="AC413">
        <v>156</v>
      </c>
      <c r="AD413">
        <v>396</v>
      </c>
      <c r="AE413">
        <v>185</v>
      </c>
      <c r="AF413">
        <v>456</v>
      </c>
      <c r="AG413">
        <v>155</v>
      </c>
      <c r="AH413">
        <f>fpl_player_statistics_cleaned[[#This Row],[Total Points]] / fpl_player_statistics_cleaned[[#This Row],[Now Cost]]</f>
        <v>0.41666666666666669</v>
      </c>
      <c r="AI413">
        <f>fpl_player_statistics_cleaned[[#This Row],[Goals Scored]] + fpl_player_statistics_cleaned[[#This Row],[Assists]]</f>
        <v>0</v>
      </c>
      <c r="AJ413" t="e">
        <f>fpl_player_statistics_cleaned[[#This Row],[Total Points]] / fpl_player_statistics_cleaned[[#This Row],[Starts]]</f>
        <v>#DIV/0!</v>
      </c>
      <c r="AK413">
        <f>((fpl_player_statistics_cleaned[[#This Row],[Points Per Game]]) * fpl_player_statistics_cleaned[[#This Row],[Form]]) / fpl_player_statistics_cleaned[[#This Row],[Now Cost]]</f>
        <v>0.10416666666666667</v>
      </c>
      <c r="AL413">
        <f>fpl_player_statistics_cleaned[[#This Row],[Minutes]] / fpl_player_statistics_cleaned[[#This Row],[Total Points]]</f>
        <v>8</v>
      </c>
      <c r="AM41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0.20833333333333334</v>
      </c>
    </row>
    <row r="414" spans="1:39" x14ac:dyDescent="0.2">
      <c r="A414" t="s">
        <v>960</v>
      </c>
      <c r="B414" t="s">
        <v>37</v>
      </c>
      <c r="C414" t="s">
        <v>41</v>
      </c>
      <c r="D414">
        <v>5.2</v>
      </c>
      <c r="E414">
        <v>2</v>
      </c>
      <c r="F414">
        <v>1</v>
      </c>
      <c r="G414">
        <v>0.1</v>
      </c>
      <c r="H414">
        <v>0</v>
      </c>
      <c r="I414">
        <v>0</v>
      </c>
      <c r="J414">
        <v>14</v>
      </c>
      <c r="K414">
        <v>0</v>
      </c>
      <c r="L414">
        <v>0</v>
      </c>
      <c r="M414">
        <v>0</v>
      </c>
      <c r="N414">
        <v>0</v>
      </c>
      <c r="O414">
        <v>1.4</v>
      </c>
      <c r="P414">
        <v>0.5</v>
      </c>
      <c r="Q414">
        <v>0</v>
      </c>
      <c r="R414">
        <v>0.1</v>
      </c>
      <c r="S414">
        <v>0.4</v>
      </c>
      <c r="T414">
        <v>0.05</v>
      </c>
      <c r="U414">
        <v>0</v>
      </c>
      <c r="V414">
        <v>0.05</v>
      </c>
      <c r="W414">
        <v>0.05</v>
      </c>
      <c r="X414">
        <v>0</v>
      </c>
      <c r="Y414" t="s">
        <v>1000</v>
      </c>
      <c r="Z414">
        <v>213</v>
      </c>
      <c r="AA414">
        <v>132</v>
      </c>
      <c r="AB414">
        <v>325</v>
      </c>
      <c r="AC414">
        <v>163</v>
      </c>
      <c r="AD414">
        <v>411</v>
      </c>
      <c r="AE414">
        <v>195</v>
      </c>
      <c r="AF414">
        <v>407</v>
      </c>
      <c r="AG414">
        <v>138</v>
      </c>
      <c r="AH414">
        <f>fpl_player_statistics_cleaned[[#This Row],[Total Points]] / fpl_player_statistics_cleaned[[#This Row],[Now Cost]]</f>
        <v>0.38461538461538458</v>
      </c>
      <c r="AI414">
        <f>fpl_player_statistics_cleaned[[#This Row],[Goals Scored]] + fpl_player_statistics_cleaned[[#This Row],[Assists]]</f>
        <v>0</v>
      </c>
      <c r="AJ414" t="e">
        <f>fpl_player_statistics_cleaned[[#This Row],[Total Points]] / fpl_player_statistics_cleaned[[#This Row],[Starts]]</f>
        <v>#DIV/0!</v>
      </c>
      <c r="AK414">
        <f>((fpl_player_statistics_cleaned[[#This Row],[Points Per Game]]) * fpl_player_statistics_cleaned[[#This Row],[Form]]) / fpl_player_statistics_cleaned[[#This Row],[Now Cost]]</f>
        <v>9.6153846153846145E-2</v>
      </c>
      <c r="AL414">
        <f>fpl_player_statistics_cleaned[[#This Row],[Minutes]] / fpl_player_statistics_cleaned[[#This Row],[Total Points]]</f>
        <v>7</v>
      </c>
      <c r="AM41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0.19230769230769229</v>
      </c>
    </row>
    <row r="415" spans="1:39" x14ac:dyDescent="0.2">
      <c r="A415" t="s">
        <v>443</v>
      </c>
      <c r="B415" t="s">
        <v>54</v>
      </c>
      <c r="C415" t="s">
        <v>41</v>
      </c>
      <c r="D415">
        <v>4.8</v>
      </c>
      <c r="E415">
        <v>2</v>
      </c>
      <c r="F415">
        <v>1</v>
      </c>
      <c r="G415">
        <v>0</v>
      </c>
      <c r="H415">
        <v>0</v>
      </c>
      <c r="I415">
        <v>0</v>
      </c>
      <c r="J415">
        <v>2</v>
      </c>
      <c r="K415">
        <v>0</v>
      </c>
      <c r="L415">
        <v>0</v>
      </c>
      <c r="M415">
        <v>0</v>
      </c>
      <c r="N415">
        <v>0</v>
      </c>
      <c r="O415">
        <v>0.2</v>
      </c>
      <c r="P415">
        <v>0.2</v>
      </c>
      <c r="Q415">
        <v>0</v>
      </c>
      <c r="R415">
        <v>0</v>
      </c>
      <c r="S415">
        <v>0.4</v>
      </c>
      <c r="T415">
        <v>0</v>
      </c>
      <c r="U415">
        <v>0</v>
      </c>
      <c r="V415">
        <v>0</v>
      </c>
      <c r="W415">
        <v>0.2</v>
      </c>
      <c r="X415">
        <v>0</v>
      </c>
      <c r="Y415" t="s">
        <v>1000</v>
      </c>
      <c r="Z415">
        <v>361</v>
      </c>
      <c r="AA415">
        <v>228</v>
      </c>
      <c r="AB415">
        <v>364</v>
      </c>
      <c r="AC415">
        <v>172</v>
      </c>
      <c r="AD415">
        <v>398</v>
      </c>
      <c r="AE415">
        <v>186</v>
      </c>
      <c r="AF415">
        <v>622</v>
      </c>
      <c r="AG415">
        <v>251</v>
      </c>
      <c r="AH415">
        <f>fpl_player_statistics_cleaned[[#This Row],[Total Points]] / fpl_player_statistics_cleaned[[#This Row],[Now Cost]]</f>
        <v>0.41666666666666669</v>
      </c>
      <c r="AI415">
        <f>fpl_player_statistics_cleaned[[#This Row],[Goals Scored]] + fpl_player_statistics_cleaned[[#This Row],[Assists]]</f>
        <v>0</v>
      </c>
      <c r="AJ415" t="e">
        <f>fpl_player_statistics_cleaned[[#This Row],[Total Points]] / fpl_player_statistics_cleaned[[#This Row],[Starts]]</f>
        <v>#DIV/0!</v>
      </c>
      <c r="AK415">
        <f>((fpl_player_statistics_cleaned[[#This Row],[Points Per Game]]) * fpl_player_statistics_cleaned[[#This Row],[Form]]) / fpl_player_statistics_cleaned[[#This Row],[Now Cost]]</f>
        <v>4.1666666666666671E-2</v>
      </c>
      <c r="AL415">
        <f>fpl_player_statistics_cleaned[[#This Row],[Minutes]] / fpl_player_statistics_cleaned[[#This Row],[Total Points]]</f>
        <v>1</v>
      </c>
      <c r="AM41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8.3333333333333343E-2</v>
      </c>
    </row>
    <row r="416" spans="1:39" x14ac:dyDescent="0.2">
      <c r="A416" t="s">
        <v>444</v>
      </c>
      <c r="B416" t="s">
        <v>81</v>
      </c>
      <c r="C416" t="s">
        <v>41</v>
      </c>
      <c r="D416">
        <v>4.9000000000000004</v>
      </c>
      <c r="E416">
        <v>2</v>
      </c>
      <c r="F416">
        <v>1</v>
      </c>
      <c r="G416">
        <v>0</v>
      </c>
      <c r="H416">
        <v>0</v>
      </c>
      <c r="I416">
        <v>0</v>
      </c>
      <c r="J416">
        <v>40</v>
      </c>
      <c r="K416">
        <v>0</v>
      </c>
      <c r="L416">
        <v>2</v>
      </c>
      <c r="M416">
        <v>0</v>
      </c>
      <c r="N416">
        <v>0</v>
      </c>
      <c r="O416">
        <v>1.4</v>
      </c>
      <c r="P416">
        <v>0.5</v>
      </c>
      <c r="Q416">
        <v>0</v>
      </c>
      <c r="R416">
        <v>0.1</v>
      </c>
      <c r="S416">
        <v>0.4</v>
      </c>
      <c r="T416">
        <v>0.04</v>
      </c>
      <c r="U416">
        <v>0.01</v>
      </c>
      <c r="V416">
        <v>0.05</v>
      </c>
      <c r="W416">
        <v>0.89</v>
      </c>
      <c r="X416">
        <v>0</v>
      </c>
      <c r="Y416" t="s">
        <v>1000</v>
      </c>
      <c r="Z416">
        <v>342</v>
      </c>
      <c r="AA416">
        <v>216</v>
      </c>
      <c r="AB416">
        <v>319</v>
      </c>
      <c r="AC416">
        <v>159</v>
      </c>
      <c r="AD416">
        <v>404</v>
      </c>
      <c r="AE416">
        <v>189</v>
      </c>
      <c r="AF416">
        <v>626</v>
      </c>
      <c r="AG416">
        <v>254</v>
      </c>
      <c r="AH416">
        <f>fpl_player_statistics_cleaned[[#This Row],[Total Points]] / fpl_player_statistics_cleaned[[#This Row],[Now Cost]]</f>
        <v>0.4081632653061224</v>
      </c>
      <c r="AI416">
        <f>fpl_player_statistics_cleaned[[#This Row],[Goals Scored]] + fpl_player_statistics_cleaned[[#This Row],[Assists]]</f>
        <v>0</v>
      </c>
      <c r="AJ416" t="e">
        <f>fpl_player_statistics_cleaned[[#This Row],[Total Points]] / fpl_player_statistics_cleaned[[#This Row],[Starts]]</f>
        <v>#DIV/0!</v>
      </c>
      <c r="AK416">
        <f>((fpl_player_statistics_cleaned[[#This Row],[Points Per Game]]) * fpl_player_statistics_cleaned[[#This Row],[Form]]) / fpl_player_statistics_cleaned[[#This Row],[Now Cost]]</f>
        <v>0.1020408163265306</v>
      </c>
      <c r="AL416">
        <f>fpl_player_statistics_cleaned[[#This Row],[Minutes]] / fpl_player_statistics_cleaned[[#This Row],[Total Points]]</f>
        <v>20</v>
      </c>
      <c r="AM41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0.2040816326530612</v>
      </c>
    </row>
    <row r="417" spans="1:39" hidden="1" x14ac:dyDescent="0.2">
      <c r="A417" t="s">
        <v>445</v>
      </c>
      <c r="B417" t="s">
        <v>54</v>
      </c>
      <c r="C417" t="s">
        <v>38</v>
      </c>
      <c r="D417">
        <v>4</v>
      </c>
      <c r="E417">
        <v>2</v>
      </c>
      <c r="F417">
        <v>1</v>
      </c>
      <c r="G417">
        <v>0.1</v>
      </c>
      <c r="H417">
        <v>0</v>
      </c>
      <c r="I417">
        <v>0</v>
      </c>
      <c r="J417">
        <v>133</v>
      </c>
      <c r="K417">
        <v>0</v>
      </c>
      <c r="L417">
        <v>2</v>
      </c>
      <c r="M417">
        <v>0</v>
      </c>
      <c r="N417">
        <v>0</v>
      </c>
      <c r="O417">
        <v>3.6</v>
      </c>
      <c r="P417">
        <v>0</v>
      </c>
      <c r="Q417">
        <v>0</v>
      </c>
      <c r="R417">
        <v>0</v>
      </c>
      <c r="S417">
        <v>0.5</v>
      </c>
      <c r="T417">
        <v>0</v>
      </c>
      <c r="U417">
        <v>0.01</v>
      </c>
      <c r="V417">
        <v>0.01</v>
      </c>
      <c r="W417">
        <v>1.33</v>
      </c>
      <c r="X417">
        <v>1</v>
      </c>
      <c r="Y417" t="s">
        <v>446</v>
      </c>
      <c r="Z417">
        <v>673</v>
      </c>
      <c r="AA417">
        <v>189</v>
      </c>
      <c r="AB417">
        <v>481</v>
      </c>
      <c r="AC417">
        <v>190</v>
      </c>
      <c r="AD417">
        <v>375</v>
      </c>
      <c r="AE417">
        <v>133</v>
      </c>
      <c r="AF417">
        <v>448</v>
      </c>
      <c r="AG417">
        <v>163</v>
      </c>
      <c r="AI417">
        <v>0</v>
      </c>
    </row>
    <row r="418" spans="1:39" hidden="1" x14ac:dyDescent="0.2">
      <c r="A418" t="s">
        <v>447</v>
      </c>
      <c r="B418" t="s">
        <v>51</v>
      </c>
      <c r="C418" t="s">
        <v>35</v>
      </c>
      <c r="D418">
        <v>7.2</v>
      </c>
      <c r="E418">
        <v>2</v>
      </c>
      <c r="F418">
        <v>1</v>
      </c>
      <c r="G418">
        <v>0.9</v>
      </c>
      <c r="H418">
        <v>0</v>
      </c>
      <c r="I418">
        <v>0</v>
      </c>
      <c r="J418">
        <v>31</v>
      </c>
      <c r="K418">
        <v>0</v>
      </c>
      <c r="L418">
        <v>0</v>
      </c>
      <c r="M418">
        <v>0</v>
      </c>
      <c r="N418">
        <v>0</v>
      </c>
      <c r="O418">
        <v>3.1</v>
      </c>
      <c r="P418">
        <v>0</v>
      </c>
      <c r="Q418">
        <v>0</v>
      </c>
      <c r="R418">
        <v>0</v>
      </c>
      <c r="S418">
        <v>0.3</v>
      </c>
      <c r="T418">
        <v>0.2</v>
      </c>
      <c r="U418">
        <v>0</v>
      </c>
      <c r="V418">
        <v>0.2</v>
      </c>
      <c r="W418">
        <v>0.22</v>
      </c>
      <c r="X418">
        <v>0</v>
      </c>
      <c r="Y418" t="s">
        <v>448</v>
      </c>
      <c r="Z418">
        <v>31</v>
      </c>
      <c r="AA418">
        <v>14</v>
      </c>
      <c r="AB418">
        <v>744</v>
      </c>
      <c r="AC418">
        <v>81</v>
      </c>
      <c r="AD418">
        <v>430</v>
      </c>
      <c r="AE418">
        <v>53</v>
      </c>
      <c r="AF418">
        <v>186</v>
      </c>
      <c r="AG418">
        <v>28</v>
      </c>
      <c r="AI418">
        <v>0</v>
      </c>
    </row>
    <row r="419" spans="1:39" hidden="1" x14ac:dyDescent="0.2">
      <c r="A419" t="s">
        <v>961</v>
      </c>
      <c r="B419" t="s">
        <v>34</v>
      </c>
      <c r="C419" t="s">
        <v>41</v>
      </c>
      <c r="D419">
        <v>5.9</v>
      </c>
      <c r="E419">
        <v>1</v>
      </c>
      <c r="F419">
        <v>1</v>
      </c>
      <c r="G419">
        <v>0</v>
      </c>
      <c r="H419">
        <v>0</v>
      </c>
      <c r="I419">
        <v>0</v>
      </c>
      <c r="J419">
        <v>4</v>
      </c>
      <c r="K419">
        <v>0</v>
      </c>
      <c r="L419">
        <v>0</v>
      </c>
      <c r="M419">
        <v>0</v>
      </c>
      <c r="N419">
        <v>0</v>
      </c>
      <c r="O419">
        <v>0.3</v>
      </c>
      <c r="P419">
        <v>0.2</v>
      </c>
      <c r="Q419">
        <v>0</v>
      </c>
      <c r="R419">
        <v>0</v>
      </c>
      <c r="S419">
        <v>0.2</v>
      </c>
      <c r="T419">
        <v>0</v>
      </c>
      <c r="U419">
        <v>0</v>
      </c>
      <c r="V419">
        <v>0</v>
      </c>
      <c r="W419">
        <v>0</v>
      </c>
      <c r="X419">
        <v>0</v>
      </c>
      <c r="Y419" t="s">
        <v>267</v>
      </c>
      <c r="Z419">
        <v>92</v>
      </c>
      <c r="AA419">
        <v>61</v>
      </c>
      <c r="AB419">
        <v>380</v>
      </c>
      <c r="AC419">
        <v>180</v>
      </c>
      <c r="AD419">
        <v>427</v>
      </c>
      <c r="AE419">
        <v>205</v>
      </c>
      <c r="AF419">
        <v>642</v>
      </c>
      <c r="AG419">
        <v>264</v>
      </c>
      <c r="AI419">
        <v>0</v>
      </c>
    </row>
    <row r="420" spans="1:39" x14ac:dyDescent="0.2">
      <c r="A420" t="s">
        <v>449</v>
      </c>
      <c r="B420" t="s">
        <v>153</v>
      </c>
      <c r="C420" t="s">
        <v>38</v>
      </c>
      <c r="D420">
        <v>4.3</v>
      </c>
      <c r="E420">
        <v>1</v>
      </c>
      <c r="F420">
        <v>0.2</v>
      </c>
      <c r="G420">
        <v>0.1</v>
      </c>
      <c r="H420">
        <v>0</v>
      </c>
      <c r="I420">
        <v>0</v>
      </c>
      <c r="J420">
        <v>182</v>
      </c>
      <c r="K420">
        <v>0</v>
      </c>
      <c r="L420">
        <v>6</v>
      </c>
      <c r="M420">
        <v>0</v>
      </c>
      <c r="N420">
        <v>0</v>
      </c>
      <c r="O420">
        <v>4.2</v>
      </c>
      <c r="P420">
        <v>-0.8</v>
      </c>
      <c r="Q420">
        <v>0</v>
      </c>
      <c r="R420">
        <v>-0.2</v>
      </c>
      <c r="S420">
        <v>0.2</v>
      </c>
      <c r="T420">
        <v>0.05</v>
      </c>
      <c r="U420">
        <v>0</v>
      </c>
      <c r="V420">
        <v>0.05</v>
      </c>
      <c r="W420">
        <v>2.92</v>
      </c>
      <c r="X420">
        <v>2</v>
      </c>
      <c r="Y420" t="s">
        <v>1000</v>
      </c>
      <c r="Z420">
        <v>598</v>
      </c>
      <c r="AA420">
        <v>150</v>
      </c>
      <c r="AB420">
        <v>751</v>
      </c>
      <c r="AC420">
        <v>248</v>
      </c>
      <c r="AD420">
        <v>445</v>
      </c>
      <c r="AE420">
        <v>154</v>
      </c>
      <c r="AF420">
        <v>567</v>
      </c>
      <c r="AG420">
        <v>205</v>
      </c>
      <c r="AH420">
        <f>fpl_player_statistics_cleaned[[#This Row],[Total Points]] / fpl_player_statistics_cleaned[[#This Row],[Now Cost]]</f>
        <v>0.23255813953488372</v>
      </c>
      <c r="AI420">
        <f>fpl_player_statistics_cleaned[[#This Row],[Goals Scored]] + fpl_player_statistics_cleaned[[#This Row],[Assists]]</f>
        <v>0</v>
      </c>
      <c r="AJ420">
        <f>fpl_player_statistics_cleaned[[#This Row],[Total Points]] / fpl_player_statistics_cleaned[[#This Row],[Starts]]</f>
        <v>0.5</v>
      </c>
      <c r="AK420">
        <f>((fpl_player_statistics_cleaned[[#This Row],[Points Per Game]]) * fpl_player_statistics_cleaned[[#This Row],[Form]]) / fpl_player_statistics_cleaned[[#This Row],[Now Cost]]</f>
        <v>-3.7209302325581402E-2</v>
      </c>
      <c r="AL420">
        <f>fpl_player_statistics_cleaned[[#This Row],[Minutes]] / fpl_player_statistics_cleaned[[#This Row],[Total Points]]</f>
        <v>182</v>
      </c>
      <c r="AM42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-3.7209302325581402E-2</v>
      </c>
    </row>
    <row r="421" spans="1:39" hidden="1" x14ac:dyDescent="0.2">
      <c r="A421" t="s">
        <v>962</v>
      </c>
      <c r="B421" t="s">
        <v>153</v>
      </c>
      <c r="C421" t="s">
        <v>35</v>
      </c>
      <c r="D421">
        <v>4.9000000000000004</v>
      </c>
      <c r="E421">
        <v>1</v>
      </c>
      <c r="F421">
        <v>1</v>
      </c>
      <c r="G421">
        <v>0.1</v>
      </c>
      <c r="H421">
        <v>0</v>
      </c>
      <c r="I421">
        <v>0</v>
      </c>
      <c r="J421">
        <v>14</v>
      </c>
      <c r="K421">
        <v>0</v>
      </c>
      <c r="L421">
        <v>0</v>
      </c>
      <c r="M421">
        <v>0</v>
      </c>
      <c r="N421">
        <v>0</v>
      </c>
      <c r="O421">
        <v>0.7</v>
      </c>
      <c r="P421">
        <v>0</v>
      </c>
      <c r="Q421">
        <v>0</v>
      </c>
      <c r="R421">
        <v>0</v>
      </c>
      <c r="S421">
        <v>0.2</v>
      </c>
      <c r="T421">
        <v>0</v>
      </c>
      <c r="U421">
        <v>0.01</v>
      </c>
      <c r="V421">
        <v>0.01</v>
      </c>
      <c r="W421">
        <v>0.1</v>
      </c>
      <c r="X421">
        <v>0</v>
      </c>
      <c r="Y421" t="s">
        <v>450</v>
      </c>
      <c r="Z421">
        <v>318</v>
      </c>
      <c r="AA421">
        <v>55</v>
      </c>
      <c r="AB421">
        <v>668</v>
      </c>
      <c r="AC421">
        <v>70</v>
      </c>
      <c r="AD421">
        <v>402</v>
      </c>
      <c r="AE421">
        <v>45</v>
      </c>
      <c r="AF421">
        <v>555</v>
      </c>
      <c r="AG421">
        <v>73</v>
      </c>
      <c r="AI421">
        <v>0</v>
      </c>
    </row>
    <row r="422" spans="1:39" x14ac:dyDescent="0.2">
      <c r="A422" t="s">
        <v>451</v>
      </c>
      <c r="B422" t="s">
        <v>54</v>
      </c>
      <c r="C422" t="s">
        <v>38</v>
      </c>
      <c r="D422">
        <v>3.9</v>
      </c>
      <c r="E422">
        <v>1</v>
      </c>
      <c r="F422">
        <v>0.3</v>
      </c>
      <c r="G422">
        <v>0.7</v>
      </c>
      <c r="H422">
        <v>0</v>
      </c>
      <c r="I422">
        <v>0</v>
      </c>
      <c r="J422">
        <v>125</v>
      </c>
      <c r="K422">
        <v>0</v>
      </c>
      <c r="L422">
        <v>2</v>
      </c>
      <c r="M422">
        <v>0</v>
      </c>
      <c r="N422">
        <v>0</v>
      </c>
      <c r="O422">
        <v>4.9000000000000004</v>
      </c>
      <c r="P422">
        <v>0</v>
      </c>
      <c r="Q422">
        <v>0</v>
      </c>
      <c r="R422">
        <v>0</v>
      </c>
      <c r="S422">
        <v>0.3</v>
      </c>
      <c r="T422">
        <v>7.0000000000000007E-2</v>
      </c>
      <c r="U422">
        <v>0.08</v>
      </c>
      <c r="V422">
        <v>0.15</v>
      </c>
      <c r="W422">
        <v>2.09</v>
      </c>
      <c r="X422">
        <v>2</v>
      </c>
      <c r="Y422" t="s">
        <v>1000</v>
      </c>
      <c r="Z422">
        <v>700</v>
      </c>
      <c r="AA422">
        <v>208</v>
      </c>
      <c r="AB422">
        <v>391</v>
      </c>
      <c r="AC422">
        <v>138</v>
      </c>
      <c r="AD422">
        <v>444</v>
      </c>
      <c r="AE422">
        <v>153</v>
      </c>
      <c r="AF422">
        <v>195</v>
      </c>
      <c r="AG422">
        <v>74</v>
      </c>
      <c r="AH422">
        <f>fpl_player_statistics_cleaned[[#This Row],[Total Points]] / fpl_player_statistics_cleaned[[#This Row],[Now Cost]]</f>
        <v>0.25641025641025644</v>
      </c>
      <c r="AI422">
        <f>fpl_player_statistics_cleaned[[#This Row],[Goals Scored]] + fpl_player_statistics_cleaned[[#This Row],[Assists]]</f>
        <v>0</v>
      </c>
      <c r="AJ422">
        <f>fpl_player_statistics_cleaned[[#This Row],[Total Points]] / fpl_player_statistics_cleaned[[#This Row],[Starts]]</f>
        <v>0.5</v>
      </c>
      <c r="AK422">
        <f>((fpl_player_statistics_cleaned[[#This Row],[Points Per Game]]) * fpl_player_statistics_cleaned[[#This Row],[Form]]) / fpl_player_statistics_cleaned[[#This Row],[Now Cost]]</f>
        <v>0</v>
      </c>
      <c r="AL422">
        <f>fpl_player_statistics_cleaned[[#This Row],[Minutes]] / fpl_player_statistics_cleaned[[#This Row],[Total Points]]</f>
        <v>125</v>
      </c>
      <c r="AM42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23" spans="1:39" hidden="1" x14ac:dyDescent="0.2">
      <c r="A423" t="s">
        <v>452</v>
      </c>
      <c r="B423" t="s">
        <v>97</v>
      </c>
      <c r="C423" t="s">
        <v>38</v>
      </c>
      <c r="D423">
        <v>4.4000000000000004</v>
      </c>
      <c r="E423">
        <v>1</v>
      </c>
      <c r="F423">
        <v>0.5</v>
      </c>
      <c r="G423">
        <v>0</v>
      </c>
      <c r="H423">
        <v>0</v>
      </c>
      <c r="I423">
        <v>0</v>
      </c>
      <c r="J423">
        <v>69</v>
      </c>
      <c r="K423">
        <v>0</v>
      </c>
      <c r="L423">
        <v>3</v>
      </c>
      <c r="M423">
        <v>0</v>
      </c>
      <c r="N423">
        <v>0</v>
      </c>
      <c r="O423">
        <v>0.9</v>
      </c>
      <c r="P423">
        <v>0.2</v>
      </c>
      <c r="Q423">
        <v>0</v>
      </c>
      <c r="R423">
        <v>0</v>
      </c>
      <c r="S423">
        <v>0.2</v>
      </c>
      <c r="T423">
        <v>0</v>
      </c>
      <c r="U423">
        <v>0.01</v>
      </c>
      <c r="V423">
        <v>0.01</v>
      </c>
      <c r="W423">
        <v>2.14</v>
      </c>
      <c r="X423">
        <v>2</v>
      </c>
      <c r="Y423" t="s">
        <v>453</v>
      </c>
      <c r="Z423">
        <v>544</v>
      </c>
      <c r="AA423">
        <v>130</v>
      </c>
      <c r="AB423">
        <v>356</v>
      </c>
      <c r="AC423">
        <v>126</v>
      </c>
      <c r="AD423">
        <v>443</v>
      </c>
      <c r="AE423">
        <v>152</v>
      </c>
      <c r="AF423">
        <v>623</v>
      </c>
      <c r="AG423">
        <v>217</v>
      </c>
      <c r="AI423">
        <v>0</v>
      </c>
    </row>
    <row r="424" spans="1:39" x14ac:dyDescent="0.2">
      <c r="A424" t="s">
        <v>454</v>
      </c>
      <c r="B424" t="s">
        <v>72</v>
      </c>
      <c r="C424" t="s">
        <v>38</v>
      </c>
      <c r="D424">
        <v>4.3</v>
      </c>
      <c r="E424">
        <v>1</v>
      </c>
      <c r="F424">
        <v>0.5</v>
      </c>
      <c r="G424">
        <v>0.1</v>
      </c>
      <c r="H424">
        <v>0</v>
      </c>
      <c r="I424">
        <v>0</v>
      </c>
      <c r="J424">
        <v>19</v>
      </c>
      <c r="K424">
        <v>0</v>
      </c>
      <c r="L424">
        <v>2</v>
      </c>
      <c r="M424">
        <v>0</v>
      </c>
      <c r="N424">
        <v>0</v>
      </c>
      <c r="O424">
        <v>1.7</v>
      </c>
      <c r="P424">
        <v>0</v>
      </c>
      <c r="Q424">
        <v>0</v>
      </c>
      <c r="R424">
        <v>0</v>
      </c>
      <c r="S424">
        <v>0.2</v>
      </c>
      <c r="T424">
        <v>0.04</v>
      </c>
      <c r="U424">
        <v>0</v>
      </c>
      <c r="V424">
        <v>0.04</v>
      </c>
      <c r="W424">
        <v>0.55000000000000004</v>
      </c>
      <c r="X424">
        <v>0</v>
      </c>
      <c r="Y424" t="s">
        <v>1000</v>
      </c>
      <c r="Z424">
        <v>572</v>
      </c>
      <c r="AA424">
        <v>133</v>
      </c>
      <c r="AB424">
        <v>509</v>
      </c>
      <c r="AC424">
        <v>209</v>
      </c>
      <c r="AD424">
        <v>441</v>
      </c>
      <c r="AE424">
        <v>150</v>
      </c>
      <c r="AF424">
        <v>537</v>
      </c>
      <c r="AG424">
        <v>193</v>
      </c>
      <c r="AH424">
        <f>fpl_player_statistics_cleaned[[#This Row],[Total Points]] / fpl_player_statistics_cleaned[[#This Row],[Now Cost]]</f>
        <v>0.23255813953488372</v>
      </c>
      <c r="AI424">
        <f>fpl_player_statistics_cleaned[[#This Row],[Goals Scored]] + fpl_player_statistics_cleaned[[#This Row],[Assists]]</f>
        <v>0</v>
      </c>
      <c r="AJ424" t="e">
        <f>fpl_player_statistics_cleaned[[#This Row],[Total Points]] / fpl_player_statistics_cleaned[[#This Row],[Starts]]</f>
        <v>#DIV/0!</v>
      </c>
      <c r="AK424">
        <f>((fpl_player_statistics_cleaned[[#This Row],[Points Per Game]]) * fpl_player_statistics_cleaned[[#This Row],[Form]]) / fpl_player_statistics_cleaned[[#This Row],[Now Cost]]</f>
        <v>0</v>
      </c>
      <c r="AL424">
        <f>fpl_player_statistics_cleaned[[#This Row],[Minutes]] / fpl_player_statistics_cleaned[[#This Row],[Total Points]]</f>
        <v>19</v>
      </c>
      <c r="AM42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25" spans="1:39" hidden="1" x14ac:dyDescent="0.2">
      <c r="A425" t="s">
        <v>455</v>
      </c>
      <c r="B425" t="s">
        <v>54</v>
      </c>
      <c r="C425" t="s">
        <v>41</v>
      </c>
      <c r="D425">
        <v>5.4</v>
      </c>
      <c r="E425">
        <v>1</v>
      </c>
      <c r="F425">
        <v>1</v>
      </c>
      <c r="G425">
        <v>0</v>
      </c>
      <c r="H425">
        <v>0</v>
      </c>
      <c r="I425">
        <v>0</v>
      </c>
      <c r="J425">
        <v>27</v>
      </c>
      <c r="K425">
        <v>0</v>
      </c>
      <c r="L425">
        <v>1</v>
      </c>
      <c r="M425">
        <v>0</v>
      </c>
      <c r="N425">
        <v>0</v>
      </c>
      <c r="O425">
        <v>1.4</v>
      </c>
      <c r="P425">
        <v>0</v>
      </c>
      <c r="Q425">
        <v>0</v>
      </c>
      <c r="R425">
        <v>0</v>
      </c>
      <c r="S425">
        <v>0.2</v>
      </c>
      <c r="T425">
        <v>0.03</v>
      </c>
      <c r="U425">
        <v>0.02</v>
      </c>
      <c r="V425">
        <v>0.05</v>
      </c>
      <c r="W425">
        <v>0.66</v>
      </c>
      <c r="X425">
        <v>0</v>
      </c>
      <c r="Y425" t="s">
        <v>456</v>
      </c>
      <c r="Z425">
        <v>160</v>
      </c>
      <c r="AA425">
        <v>99</v>
      </c>
      <c r="AB425">
        <v>709</v>
      </c>
      <c r="AC425">
        <v>305</v>
      </c>
      <c r="AD425">
        <v>417</v>
      </c>
      <c r="AE425">
        <v>199</v>
      </c>
      <c r="AF425">
        <v>678</v>
      </c>
      <c r="AG425">
        <v>288</v>
      </c>
      <c r="AI425">
        <v>0</v>
      </c>
    </row>
    <row r="426" spans="1:39" hidden="1" x14ac:dyDescent="0.2">
      <c r="A426" t="s">
        <v>963</v>
      </c>
      <c r="B426" t="s">
        <v>122</v>
      </c>
      <c r="C426" t="s">
        <v>41</v>
      </c>
      <c r="D426">
        <v>5.4</v>
      </c>
      <c r="E426">
        <v>1</v>
      </c>
      <c r="F426">
        <v>1</v>
      </c>
      <c r="G426">
        <v>0</v>
      </c>
      <c r="H426">
        <v>0</v>
      </c>
      <c r="I426">
        <v>0</v>
      </c>
      <c r="J426">
        <v>11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0.2</v>
      </c>
      <c r="T426">
        <v>0</v>
      </c>
      <c r="U426">
        <v>0</v>
      </c>
      <c r="V426">
        <v>0</v>
      </c>
      <c r="W426">
        <v>0</v>
      </c>
      <c r="X426">
        <v>0</v>
      </c>
      <c r="Y426" t="s">
        <v>457</v>
      </c>
      <c r="Z426">
        <v>183</v>
      </c>
      <c r="AA426">
        <v>114</v>
      </c>
      <c r="AB426">
        <v>718</v>
      </c>
      <c r="AC426">
        <v>312</v>
      </c>
      <c r="AD426">
        <v>422</v>
      </c>
      <c r="AE426">
        <v>202</v>
      </c>
      <c r="AF426">
        <v>588</v>
      </c>
      <c r="AG426">
        <v>226</v>
      </c>
      <c r="AI426">
        <v>0</v>
      </c>
    </row>
    <row r="427" spans="1:39" x14ac:dyDescent="0.2">
      <c r="A427" t="s">
        <v>964</v>
      </c>
      <c r="B427" t="s">
        <v>153</v>
      </c>
      <c r="C427" t="s">
        <v>35</v>
      </c>
      <c r="D427">
        <v>4.5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20</v>
      </c>
      <c r="K427">
        <v>0</v>
      </c>
      <c r="L427">
        <v>1</v>
      </c>
      <c r="M427">
        <v>0</v>
      </c>
      <c r="N427">
        <v>0</v>
      </c>
      <c r="O427">
        <v>1</v>
      </c>
      <c r="P427">
        <v>1</v>
      </c>
      <c r="Q427">
        <v>0</v>
      </c>
      <c r="R427">
        <v>0.2</v>
      </c>
      <c r="S427">
        <v>0.2</v>
      </c>
      <c r="T427">
        <v>0</v>
      </c>
      <c r="U427">
        <v>0.01</v>
      </c>
      <c r="V427">
        <v>0.01</v>
      </c>
      <c r="W427">
        <v>1.37</v>
      </c>
      <c r="X427">
        <v>0</v>
      </c>
      <c r="Y427" t="s">
        <v>1000</v>
      </c>
      <c r="Z427">
        <v>489</v>
      </c>
      <c r="AA427">
        <v>67</v>
      </c>
      <c r="AB427">
        <v>267</v>
      </c>
      <c r="AC427">
        <v>29</v>
      </c>
      <c r="AD427">
        <v>391</v>
      </c>
      <c r="AE427">
        <v>44</v>
      </c>
      <c r="AF427">
        <v>736</v>
      </c>
      <c r="AG427">
        <v>83</v>
      </c>
      <c r="AH427">
        <f>fpl_player_statistics_cleaned[[#This Row],[Total Points]] / fpl_player_statistics_cleaned[[#This Row],[Now Cost]]</f>
        <v>0.22222222222222221</v>
      </c>
      <c r="AI427">
        <f>fpl_player_statistics_cleaned[[#This Row],[Goals Scored]] + fpl_player_statistics_cleaned[[#This Row],[Assists]]</f>
        <v>0</v>
      </c>
      <c r="AJ427" t="e">
        <f>fpl_player_statistics_cleaned[[#This Row],[Total Points]] / fpl_player_statistics_cleaned[[#This Row],[Starts]]</f>
        <v>#DIV/0!</v>
      </c>
      <c r="AK427">
        <f>((fpl_player_statistics_cleaned[[#This Row],[Points Per Game]]) * fpl_player_statistics_cleaned[[#This Row],[Form]]) / fpl_player_statistics_cleaned[[#This Row],[Now Cost]]</f>
        <v>0.22222222222222221</v>
      </c>
      <c r="AL427">
        <f>fpl_player_statistics_cleaned[[#This Row],[Minutes]] / fpl_player_statistics_cleaned[[#This Row],[Total Points]]</f>
        <v>20</v>
      </c>
      <c r="AM42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0.22222222222222221</v>
      </c>
    </row>
    <row r="428" spans="1:39" x14ac:dyDescent="0.2">
      <c r="A428" t="s">
        <v>458</v>
      </c>
      <c r="B428" t="s">
        <v>65</v>
      </c>
      <c r="C428" t="s">
        <v>38</v>
      </c>
      <c r="D428">
        <v>3.9</v>
      </c>
      <c r="E428">
        <v>1</v>
      </c>
      <c r="F428">
        <v>1</v>
      </c>
      <c r="G428">
        <v>0.2</v>
      </c>
      <c r="H428">
        <v>0</v>
      </c>
      <c r="I428">
        <v>0</v>
      </c>
      <c r="J428">
        <v>9</v>
      </c>
      <c r="K428">
        <v>0</v>
      </c>
      <c r="L428">
        <v>1</v>
      </c>
      <c r="M428">
        <v>0</v>
      </c>
      <c r="N428">
        <v>0</v>
      </c>
      <c r="O428">
        <v>1.9</v>
      </c>
      <c r="P428">
        <v>0.2</v>
      </c>
      <c r="Q428">
        <v>0</v>
      </c>
      <c r="R428">
        <v>0.1</v>
      </c>
      <c r="S428">
        <v>0.3</v>
      </c>
      <c r="T428">
        <v>0</v>
      </c>
      <c r="U428">
        <v>7.0000000000000007E-2</v>
      </c>
      <c r="V428">
        <v>7.0000000000000007E-2</v>
      </c>
      <c r="W428">
        <v>0.96</v>
      </c>
      <c r="X428">
        <v>0</v>
      </c>
      <c r="Y428" t="s">
        <v>1000</v>
      </c>
      <c r="Z428">
        <v>738</v>
      </c>
      <c r="AA428">
        <v>236</v>
      </c>
      <c r="AB428">
        <v>340</v>
      </c>
      <c r="AC428">
        <v>113</v>
      </c>
      <c r="AD428">
        <v>374</v>
      </c>
      <c r="AE428">
        <v>132</v>
      </c>
      <c r="AF428">
        <v>389</v>
      </c>
      <c r="AG428">
        <v>142</v>
      </c>
      <c r="AH428">
        <f>fpl_player_statistics_cleaned[[#This Row],[Total Points]] / fpl_player_statistics_cleaned[[#This Row],[Now Cost]]</f>
        <v>0.25641025641025644</v>
      </c>
      <c r="AI428">
        <f>fpl_player_statistics_cleaned[[#This Row],[Goals Scored]] + fpl_player_statistics_cleaned[[#This Row],[Assists]]</f>
        <v>0</v>
      </c>
      <c r="AJ428" t="e">
        <f>fpl_player_statistics_cleaned[[#This Row],[Total Points]] / fpl_player_statistics_cleaned[[#This Row],[Starts]]</f>
        <v>#DIV/0!</v>
      </c>
      <c r="AK428">
        <f>((fpl_player_statistics_cleaned[[#This Row],[Points Per Game]]) * fpl_player_statistics_cleaned[[#This Row],[Form]]) / fpl_player_statistics_cleaned[[#This Row],[Now Cost]]</f>
        <v>5.1282051282051287E-2</v>
      </c>
      <c r="AL428">
        <f>fpl_player_statistics_cleaned[[#This Row],[Minutes]] / fpl_player_statistics_cleaned[[#This Row],[Total Points]]</f>
        <v>9</v>
      </c>
      <c r="AM42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5.1282051282051287E-2</v>
      </c>
    </row>
    <row r="429" spans="1:39" x14ac:dyDescent="0.2">
      <c r="A429" t="s">
        <v>459</v>
      </c>
      <c r="B429" t="s">
        <v>43</v>
      </c>
      <c r="C429" t="s">
        <v>38</v>
      </c>
      <c r="D429">
        <v>3.9</v>
      </c>
      <c r="E429">
        <v>1</v>
      </c>
      <c r="F429">
        <v>1</v>
      </c>
      <c r="G429">
        <v>0.4</v>
      </c>
      <c r="H429">
        <v>0</v>
      </c>
      <c r="I429">
        <v>0</v>
      </c>
      <c r="J429">
        <v>4</v>
      </c>
      <c r="K429">
        <v>0</v>
      </c>
      <c r="L429">
        <v>0</v>
      </c>
      <c r="M429">
        <v>0</v>
      </c>
      <c r="N429">
        <v>0</v>
      </c>
      <c r="O429">
        <v>0.4</v>
      </c>
      <c r="P429">
        <v>0</v>
      </c>
      <c r="Q429">
        <v>0</v>
      </c>
      <c r="R429">
        <v>0</v>
      </c>
      <c r="S429">
        <v>0.3</v>
      </c>
      <c r="T429">
        <v>0</v>
      </c>
      <c r="U429">
        <v>0</v>
      </c>
      <c r="V429">
        <v>0</v>
      </c>
      <c r="W429">
        <v>0</v>
      </c>
      <c r="X429">
        <v>0</v>
      </c>
      <c r="Y429" t="s">
        <v>1000</v>
      </c>
      <c r="Z429">
        <v>697</v>
      </c>
      <c r="AA429">
        <v>206</v>
      </c>
      <c r="AB429">
        <v>388</v>
      </c>
      <c r="AC429">
        <v>136</v>
      </c>
      <c r="AD429">
        <v>369</v>
      </c>
      <c r="AE429">
        <v>127</v>
      </c>
      <c r="AF429">
        <v>248</v>
      </c>
      <c r="AG429">
        <v>90</v>
      </c>
      <c r="AH429">
        <f>fpl_player_statistics_cleaned[[#This Row],[Total Points]] / fpl_player_statistics_cleaned[[#This Row],[Now Cost]]</f>
        <v>0.25641025641025644</v>
      </c>
      <c r="AI429">
        <f>fpl_player_statistics_cleaned[[#This Row],[Goals Scored]] + fpl_player_statistics_cleaned[[#This Row],[Assists]]</f>
        <v>0</v>
      </c>
      <c r="AJ429" t="e">
        <f>fpl_player_statistics_cleaned[[#This Row],[Total Points]] / fpl_player_statistics_cleaned[[#This Row],[Starts]]</f>
        <v>#DIV/0!</v>
      </c>
      <c r="AK429">
        <f>((fpl_player_statistics_cleaned[[#This Row],[Points Per Game]]) * fpl_player_statistics_cleaned[[#This Row],[Form]]) / fpl_player_statistics_cleaned[[#This Row],[Now Cost]]</f>
        <v>0</v>
      </c>
      <c r="AL429">
        <f>fpl_player_statistics_cleaned[[#This Row],[Minutes]] / fpl_player_statistics_cleaned[[#This Row],[Total Points]]</f>
        <v>4</v>
      </c>
      <c r="AM42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30" spans="1:39" hidden="1" x14ac:dyDescent="0.2">
      <c r="A430" t="s">
        <v>460</v>
      </c>
      <c r="B430" t="s">
        <v>40</v>
      </c>
      <c r="C430" t="s">
        <v>41</v>
      </c>
      <c r="D430">
        <v>4.5</v>
      </c>
      <c r="E430">
        <v>1</v>
      </c>
      <c r="F430">
        <v>1</v>
      </c>
      <c r="G430">
        <v>0</v>
      </c>
      <c r="H430">
        <v>0</v>
      </c>
      <c r="I430">
        <v>0</v>
      </c>
      <c r="J430">
        <v>6</v>
      </c>
      <c r="K430">
        <v>0</v>
      </c>
      <c r="L430">
        <v>2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0.2</v>
      </c>
      <c r="T430">
        <v>0</v>
      </c>
      <c r="U430">
        <v>0</v>
      </c>
      <c r="V430">
        <v>0</v>
      </c>
      <c r="W430">
        <v>0.31</v>
      </c>
      <c r="X430">
        <v>0</v>
      </c>
      <c r="Y430" t="s">
        <v>461</v>
      </c>
      <c r="Z430">
        <v>477</v>
      </c>
      <c r="AA430">
        <v>289</v>
      </c>
      <c r="AB430">
        <v>634</v>
      </c>
      <c r="AC430">
        <v>257</v>
      </c>
      <c r="AD430">
        <v>387</v>
      </c>
      <c r="AE430">
        <v>178</v>
      </c>
      <c r="AF430">
        <v>602</v>
      </c>
      <c r="AG430">
        <v>238</v>
      </c>
      <c r="AI430">
        <v>0</v>
      </c>
    </row>
    <row r="431" spans="1:39" x14ac:dyDescent="0.2">
      <c r="A431" t="s">
        <v>965</v>
      </c>
      <c r="B431" t="s">
        <v>47</v>
      </c>
      <c r="C431" t="s">
        <v>55</v>
      </c>
      <c r="D431">
        <v>4.4000000000000004</v>
      </c>
      <c r="E431">
        <v>1</v>
      </c>
      <c r="F431">
        <v>1</v>
      </c>
      <c r="G431">
        <v>0.2</v>
      </c>
      <c r="H431">
        <v>0</v>
      </c>
      <c r="I431">
        <v>0</v>
      </c>
      <c r="J431">
        <v>84</v>
      </c>
      <c r="K431">
        <v>0</v>
      </c>
      <c r="L431">
        <v>2</v>
      </c>
      <c r="M431">
        <v>1</v>
      </c>
      <c r="N431">
        <v>0</v>
      </c>
      <c r="O431">
        <v>0.9</v>
      </c>
      <c r="P431">
        <v>0</v>
      </c>
      <c r="Q431">
        <v>0</v>
      </c>
      <c r="R431">
        <v>0</v>
      </c>
      <c r="S431">
        <v>0.2</v>
      </c>
      <c r="T431">
        <v>0</v>
      </c>
      <c r="U431">
        <v>0</v>
      </c>
      <c r="V431">
        <v>0</v>
      </c>
      <c r="W431">
        <v>1.79</v>
      </c>
      <c r="X431">
        <v>0</v>
      </c>
      <c r="Y431" t="s">
        <v>1000</v>
      </c>
      <c r="Z431">
        <v>538</v>
      </c>
      <c r="AA431">
        <v>29</v>
      </c>
      <c r="AB431">
        <v>552</v>
      </c>
      <c r="AC431">
        <v>76</v>
      </c>
      <c r="AD431">
        <v>380</v>
      </c>
      <c r="AE431">
        <v>28</v>
      </c>
      <c r="AF431">
        <v>381</v>
      </c>
      <c r="AG431">
        <v>57</v>
      </c>
      <c r="AH431">
        <f>fpl_player_statistics_cleaned[[#This Row],[Total Points]] / fpl_player_statistics_cleaned[[#This Row],[Now Cost]]</f>
        <v>0.22727272727272727</v>
      </c>
      <c r="AI431">
        <f>fpl_player_statistics_cleaned[[#This Row],[Goals Scored]] + fpl_player_statistics_cleaned[[#This Row],[Assists]]</f>
        <v>0</v>
      </c>
      <c r="AJ431" t="e">
        <f>fpl_player_statistics_cleaned[[#This Row],[Total Points]] / fpl_player_statistics_cleaned[[#This Row],[Starts]]</f>
        <v>#DIV/0!</v>
      </c>
      <c r="AK431">
        <f>((fpl_player_statistics_cleaned[[#This Row],[Points Per Game]]) * fpl_player_statistics_cleaned[[#This Row],[Form]]) / fpl_player_statistics_cleaned[[#This Row],[Now Cost]]</f>
        <v>0</v>
      </c>
      <c r="AL431">
        <f>fpl_player_statistics_cleaned[[#This Row],[Minutes]] / fpl_player_statistics_cleaned[[#This Row],[Total Points]]</f>
        <v>84</v>
      </c>
      <c r="AM43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32" spans="1:39" x14ac:dyDescent="0.2">
      <c r="A432" t="s">
        <v>462</v>
      </c>
      <c r="B432" t="s">
        <v>47</v>
      </c>
      <c r="C432" t="s">
        <v>41</v>
      </c>
      <c r="D432">
        <v>4.7</v>
      </c>
      <c r="E432">
        <v>1</v>
      </c>
      <c r="F432">
        <v>1</v>
      </c>
      <c r="G432">
        <v>0.1</v>
      </c>
      <c r="H432">
        <v>0</v>
      </c>
      <c r="I432">
        <v>0</v>
      </c>
      <c r="J432">
        <v>45</v>
      </c>
      <c r="K432">
        <v>0</v>
      </c>
      <c r="L432">
        <v>1</v>
      </c>
      <c r="M432">
        <v>0</v>
      </c>
      <c r="N432">
        <v>0</v>
      </c>
      <c r="O432">
        <v>3.9</v>
      </c>
      <c r="P432">
        <v>0</v>
      </c>
      <c r="Q432">
        <v>0</v>
      </c>
      <c r="R432">
        <v>0</v>
      </c>
      <c r="S432">
        <v>0.2</v>
      </c>
      <c r="T432">
        <v>0</v>
      </c>
      <c r="U432">
        <v>0.09</v>
      </c>
      <c r="V432">
        <v>0.09</v>
      </c>
      <c r="W432">
        <v>0.55000000000000004</v>
      </c>
      <c r="X432">
        <v>1</v>
      </c>
      <c r="Y432" t="s">
        <v>1000</v>
      </c>
      <c r="Z432">
        <v>385</v>
      </c>
      <c r="AA432">
        <v>241</v>
      </c>
      <c r="AB432">
        <v>644</v>
      </c>
      <c r="AC432">
        <v>265</v>
      </c>
      <c r="AD432">
        <v>394</v>
      </c>
      <c r="AE432">
        <v>183</v>
      </c>
      <c r="AF432">
        <v>482</v>
      </c>
      <c r="AG432">
        <v>167</v>
      </c>
      <c r="AH432">
        <f>fpl_player_statistics_cleaned[[#This Row],[Total Points]] / fpl_player_statistics_cleaned[[#This Row],[Now Cost]]</f>
        <v>0.21276595744680851</v>
      </c>
      <c r="AI432">
        <f>fpl_player_statistics_cleaned[[#This Row],[Goals Scored]] + fpl_player_statistics_cleaned[[#This Row],[Assists]]</f>
        <v>0</v>
      </c>
      <c r="AJ432">
        <f>fpl_player_statistics_cleaned[[#This Row],[Total Points]] / fpl_player_statistics_cleaned[[#This Row],[Starts]]</f>
        <v>1</v>
      </c>
      <c r="AK432">
        <f>((fpl_player_statistics_cleaned[[#This Row],[Points Per Game]]) * fpl_player_statistics_cleaned[[#This Row],[Form]]) / fpl_player_statistics_cleaned[[#This Row],[Now Cost]]</f>
        <v>0</v>
      </c>
      <c r="AL432">
        <f>fpl_player_statistics_cleaned[[#This Row],[Minutes]] / fpl_player_statistics_cleaned[[#This Row],[Total Points]]</f>
        <v>45</v>
      </c>
      <c r="AM43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33" spans="1:39" x14ac:dyDescent="0.2">
      <c r="A433" t="s">
        <v>463</v>
      </c>
      <c r="B433" t="s">
        <v>81</v>
      </c>
      <c r="C433" t="s">
        <v>41</v>
      </c>
      <c r="D433">
        <v>4.5</v>
      </c>
      <c r="E433">
        <v>1</v>
      </c>
      <c r="F433">
        <v>1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0.2</v>
      </c>
      <c r="Q433">
        <v>0</v>
      </c>
      <c r="R433">
        <v>0</v>
      </c>
      <c r="S433">
        <v>0.2</v>
      </c>
      <c r="T433">
        <v>0</v>
      </c>
      <c r="U433">
        <v>0</v>
      </c>
      <c r="V433">
        <v>0</v>
      </c>
      <c r="W433">
        <v>0</v>
      </c>
      <c r="X433">
        <v>0</v>
      </c>
      <c r="Y433" t="s">
        <v>1000</v>
      </c>
      <c r="Z433">
        <v>455</v>
      </c>
      <c r="AA433">
        <v>273</v>
      </c>
      <c r="AB433">
        <v>358</v>
      </c>
      <c r="AC433">
        <v>168</v>
      </c>
      <c r="AD433">
        <v>385</v>
      </c>
      <c r="AE433">
        <v>176</v>
      </c>
      <c r="AF433">
        <v>717</v>
      </c>
      <c r="AG433">
        <v>314</v>
      </c>
      <c r="AH433">
        <f>fpl_player_statistics_cleaned[[#This Row],[Total Points]] / fpl_player_statistics_cleaned[[#This Row],[Now Cost]]</f>
        <v>0.22222222222222221</v>
      </c>
      <c r="AI433">
        <f>fpl_player_statistics_cleaned[[#This Row],[Goals Scored]] + fpl_player_statistics_cleaned[[#This Row],[Assists]]</f>
        <v>0</v>
      </c>
      <c r="AJ433" t="e">
        <f>fpl_player_statistics_cleaned[[#This Row],[Total Points]] / fpl_player_statistics_cleaned[[#This Row],[Starts]]</f>
        <v>#DIV/0!</v>
      </c>
      <c r="AK433">
        <f>((fpl_player_statistics_cleaned[[#This Row],[Points Per Game]]) * fpl_player_statistics_cleaned[[#This Row],[Form]]) / fpl_player_statistics_cleaned[[#This Row],[Now Cost]]</f>
        <v>4.4444444444444446E-2</v>
      </c>
      <c r="AL433">
        <f>fpl_player_statistics_cleaned[[#This Row],[Minutes]] / fpl_player_statistics_cleaned[[#This Row],[Total Points]]</f>
        <v>1</v>
      </c>
      <c r="AM43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4.4444444444444446E-2</v>
      </c>
    </row>
    <row r="434" spans="1:39" x14ac:dyDescent="0.2">
      <c r="A434" t="s">
        <v>464</v>
      </c>
      <c r="B434" t="s">
        <v>40</v>
      </c>
      <c r="C434" t="s">
        <v>38</v>
      </c>
      <c r="D434">
        <v>4</v>
      </c>
      <c r="E434">
        <v>1</v>
      </c>
      <c r="F434">
        <v>1</v>
      </c>
      <c r="G434">
        <v>0.2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0.2</v>
      </c>
      <c r="T434">
        <v>0</v>
      </c>
      <c r="U434">
        <v>0</v>
      </c>
      <c r="V434">
        <v>0</v>
      </c>
      <c r="W434">
        <v>0</v>
      </c>
      <c r="X434">
        <v>0</v>
      </c>
      <c r="Y434" t="s">
        <v>1000</v>
      </c>
      <c r="Z434">
        <v>684</v>
      </c>
      <c r="AA434">
        <v>195</v>
      </c>
      <c r="AB434">
        <v>492</v>
      </c>
      <c r="AC434">
        <v>196</v>
      </c>
      <c r="AD434">
        <v>376</v>
      </c>
      <c r="AE434">
        <v>134</v>
      </c>
      <c r="AF434">
        <v>352</v>
      </c>
      <c r="AG434">
        <v>126</v>
      </c>
      <c r="AH434">
        <f>fpl_player_statistics_cleaned[[#This Row],[Total Points]] / fpl_player_statistics_cleaned[[#This Row],[Now Cost]]</f>
        <v>0.25</v>
      </c>
      <c r="AI434">
        <f>fpl_player_statistics_cleaned[[#This Row],[Goals Scored]] + fpl_player_statistics_cleaned[[#This Row],[Assists]]</f>
        <v>0</v>
      </c>
      <c r="AJ434" t="e">
        <f>fpl_player_statistics_cleaned[[#This Row],[Total Points]] / fpl_player_statistics_cleaned[[#This Row],[Starts]]</f>
        <v>#DIV/0!</v>
      </c>
      <c r="AK434">
        <f>((fpl_player_statistics_cleaned[[#This Row],[Points Per Game]]) * fpl_player_statistics_cleaned[[#This Row],[Form]]) / fpl_player_statistics_cleaned[[#This Row],[Now Cost]]</f>
        <v>0</v>
      </c>
      <c r="AL434">
        <f>fpl_player_statistics_cleaned[[#This Row],[Minutes]] / fpl_player_statistics_cleaned[[#This Row],[Total Points]]</f>
        <v>1</v>
      </c>
      <c r="AM43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35" spans="1:39" x14ac:dyDescent="0.2">
      <c r="A435" t="s">
        <v>465</v>
      </c>
      <c r="B435" t="s">
        <v>92</v>
      </c>
      <c r="C435" t="s">
        <v>35</v>
      </c>
      <c r="D435">
        <v>4.5</v>
      </c>
      <c r="E435">
        <v>1</v>
      </c>
      <c r="F435">
        <v>1</v>
      </c>
      <c r="G435">
        <v>0.1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0.2</v>
      </c>
      <c r="Q435">
        <v>0</v>
      </c>
      <c r="R435">
        <v>0</v>
      </c>
      <c r="S435">
        <v>0.2</v>
      </c>
      <c r="T435">
        <v>0</v>
      </c>
      <c r="U435">
        <v>0</v>
      </c>
      <c r="V435">
        <v>0</v>
      </c>
      <c r="W435">
        <v>0.02</v>
      </c>
      <c r="X435">
        <v>0</v>
      </c>
      <c r="Y435" t="s">
        <v>1000</v>
      </c>
      <c r="Z435">
        <v>486</v>
      </c>
      <c r="AA435">
        <v>66</v>
      </c>
      <c r="AB435">
        <v>361</v>
      </c>
      <c r="AC435">
        <v>44</v>
      </c>
      <c r="AD435">
        <v>389</v>
      </c>
      <c r="AE435">
        <v>43</v>
      </c>
      <c r="AF435">
        <v>529</v>
      </c>
      <c r="AG435">
        <v>72</v>
      </c>
      <c r="AH435">
        <f>fpl_player_statistics_cleaned[[#This Row],[Total Points]] / fpl_player_statistics_cleaned[[#This Row],[Now Cost]]</f>
        <v>0.22222222222222221</v>
      </c>
      <c r="AI435">
        <f>fpl_player_statistics_cleaned[[#This Row],[Goals Scored]] + fpl_player_statistics_cleaned[[#This Row],[Assists]]</f>
        <v>0</v>
      </c>
      <c r="AJ435" t="e">
        <f>fpl_player_statistics_cleaned[[#This Row],[Total Points]] / fpl_player_statistics_cleaned[[#This Row],[Starts]]</f>
        <v>#DIV/0!</v>
      </c>
      <c r="AK435">
        <f>((fpl_player_statistics_cleaned[[#This Row],[Points Per Game]]) * fpl_player_statistics_cleaned[[#This Row],[Form]]) / fpl_player_statistics_cleaned[[#This Row],[Now Cost]]</f>
        <v>4.4444444444444446E-2</v>
      </c>
      <c r="AL435">
        <f>fpl_player_statistics_cleaned[[#This Row],[Minutes]] / fpl_player_statistics_cleaned[[#This Row],[Total Points]]</f>
        <v>1</v>
      </c>
      <c r="AM43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4.4444444444444446E-2</v>
      </c>
    </row>
    <row r="436" spans="1:39" x14ac:dyDescent="0.2">
      <c r="A436" t="s">
        <v>466</v>
      </c>
      <c r="B436" t="s">
        <v>81</v>
      </c>
      <c r="C436" t="s">
        <v>41</v>
      </c>
      <c r="D436">
        <v>4.5</v>
      </c>
      <c r="E436">
        <v>1</v>
      </c>
      <c r="F436">
        <v>1</v>
      </c>
      <c r="G436">
        <v>0.1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0.2</v>
      </c>
      <c r="Q436">
        <v>0</v>
      </c>
      <c r="R436">
        <v>0</v>
      </c>
      <c r="S436">
        <v>0.2</v>
      </c>
      <c r="T436">
        <v>0</v>
      </c>
      <c r="U436">
        <v>0</v>
      </c>
      <c r="V436">
        <v>0</v>
      </c>
      <c r="W436">
        <v>0</v>
      </c>
      <c r="X436">
        <v>0</v>
      </c>
      <c r="Y436" t="s">
        <v>1000</v>
      </c>
      <c r="Z436">
        <v>459</v>
      </c>
      <c r="AA436">
        <v>276</v>
      </c>
      <c r="AB436">
        <v>359</v>
      </c>
      <c r="AC436">
        <v>169</v>
      </c>
      <c r="AD436">
        <v>386</v>
      </c>
      <c r="AE436">
        <v>177</v>
      </c>
      <c r="AF436">
        <v>487</v>
      </c>
      <c r="AG436">
        <v>170</v>
      </c>
      <c r="AH436">
        <f>fpl_player_statistics_cleaned[[#This Row],[Total Points]] / fpl_player_statistics_cleaned[[#This Row],[Now Cost]]</f>
        <v>0.22222222222222221</v>
      </c>
      <c r="AI436">
        <f>fpl_player_statistics_cleaned[[#This Row],[Goals Scored]] + fpl_player_statistics_cleaned[[#This Row],[Assists]]</f>
        <v>0</v>
      </c>
      <c r="AJ436" t="e">
        <f>fpl_player_statistics_cleaned[[#This Row],[Total Points]] / fpl_player_statistics_cleaned[[#This Row],[Starts]]</f>
        <v>#DIV/0!</v>
      </c>
      <c r="AK436">
        <f>((fpl_player_statistics_cleaned[[#This Row],[Points Per Game]]) * fpl_player_statistics_cleaned[[#This Row],[Form]]) / fpl_player_statistics_cleaned[[#This Row],[Now Cost]]</f>
        <v>4.4444444444444446E-2</v>
      </c>
      <c r="AL436">
        <f>fpl_player_statistics_cleaned[[#This Row],[Minutes]] / fpl_player_statistics_cleaned[[#This Row],[Total Points]]</f>
        <v>1</v>
      </c>
      <c r="AM43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4.4444444444444446E-2</v>
      </c>
    </row>
    <row r="437" spans="1:39" x14ac:dyDescent="0.2">
      <c r="A437" t="s">
        <v>467</v>
      </c>
      <c r="B437" t="s">
        <v>100</v>
      </c>
      <c r="C437" t="s">
        <v>38</v>
      </c>
      <c r="D437">
        <v>3.9</v>
      </c>
      <c r="E437">
        <v>1</v>
      </c>
      <c r="F437">
        <v>1</v>
      </c>
      <c r="G437">
        <v>0.2</v>
      </c>
      <c r="H437">
        <v>0</v>
      </c>
      <c r="I437">
        <v>0</v>
      </c>
      <c r="J437">
        <v>7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0.3</v>
      </c>
      <c r="T437">
        <v>0</v>
      </c>
      <c r="U437">
        <v>0</v>
      </c>
      <c r="V437">
        <v>0</v>
      </c>
      <c r="W437">
        <v>0.79</v>
      </c>
      <c r="X437">
        <v>0</v>
      </c>
      <c r="Y437" t="s">
        <v>1000</v>
      </c>
      <c r="Z437">
        <v>701</v>
      </c>
      <c r="AA437">
        <v>209</v>
      </c>
      <c r="AB437">
        <v>392</v>
      </c>
      <c r="AC437">
        <v>139</v>
      </c>
      <c r="AD437">
        <v>370</v>
      </c>
      <c r="AE437">
        <v>128</v>
      </c>
      <c r="AF437">
        <v>347</v>
      </c>
      <c r="AG437">
        <v>123</v>
      </c>
      <c r="AH437">
        <f>fpl_player_statistics_cleaned[[#This Row],[Total Points]] / fpl_player_statistics_cleaned[[#This Row],[Now Cost]]</f>
        <v>0.25641025641025644</v>
      </c>
      <c r="AI437">
        <f>fpl_player_statistics_cleaned[[#This Row],[Goals Scored]] + fpl_player_statistics_cleaned[[#This Row],[Assists]]</f>
        <v>0</v>
      </c>
      <c r="AJ437" t="e">
        <f>fpl_player_statistics_cleaned[[#This Row],[Total Points]] / fpl_player_statistics_cleaned[[#This Row],[Starts]]</f>
        <v>#DIV/0!</v>
      </c>
      <c r="AK437">
        <f>((fpl_player_statistics_cleaned[[#This Row],[Points Per Game]]) * fpl_player_statistics_cleaned[[#This Row],[Form]]) / fpl_player_statistics_cleaned[[#This Row],[Now Cost]]</f>
        <v>0</v>
      </c>
      <c r="AL437">
        <f>fpl_player_statistics_cleaned[[#This Row],[Minutes]] / fpl_player_statistics_cleaned[[#This Row],[Total Points]]</f>
        <v>7</v>
      </c>
      <c r="AM43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38" spans="1:39" hidden="1" x14ac:dyDescent="0.2">
      <c r="A438" t="s">
        <v>468</v>
      </c>
      <c r="B438" t="s">
        <v>57</v>
      </c>
      <c r="C438" t="s">
        <v>41</v>
      </c>
      <c r="D438">
        <v>4.5</v>
      </c>
      <c r="E438">
        <v>1</v>
      </c>
      <c r="F438">
        <v>1</v>
      </c>
      <c r="G438">
        <v>0.1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0.2</v>
      </c>
      <c r="T438">
        <v>0</v>
      </c>
      <c r="U438">
        <v>0</v>
      </c>
      <c r="V438">
        <v>0</v>
      </c>
      <c r="W438">
        <v>0</v>
      </c>
      <c r="X438">
        <v>0</v>
      </c>
      <c r="Y438" t="s">
        <v>469</v>
      </c>
      <c r="Z438">
        <v>479</v>
      </c>
      <c r="AA438">
        <v>290</v>
      </c>
      <c r="AB438">
        <v>635</v>
      </c>
      <c r="AC438">
        <v>258</v>
      </c>
      <c r="AD438">
        <v>388</v>
      </c>
      <c r="AE438">
        <v>179</v>
      </c>
      <c r="AF438">
        <v>559</v>
      </c>
      <c r="AG438">
        <v>207</v>
      </c>
      <c r="AI438">
        <v>0</v>
      </c>
    </row>
    <row r="439" spans="1:39" x14ac:dyDescent="0.2">
      <c r="A439" t="s">
        <v>966</v>
      </c>
      <c r="B439" t="s">
        <v>40</v>
      </c>
      <c r="C439" t="s">
        <v>35</v>
      </c>
      <c r="D439">
        <v>5.4</v>
      </c>
      <c r="E439">
        <v>1</v>
      </c>
      <c r="F439">
        <v>1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0.2</v>
      </c>
      <c r="Q439">
        <v>0</v>
      </c>
      <c r="R439">
        <v>0</v>
      </c>
      <c r="S439">
        <v>0.2</v>
      </c>
      <c r="T439">
        <v>0</v>
      </c>
      <c r="U439">
        <v>0</v>
      </c>
      <c r="V439">
        <v>0</v>
      </c>
      <c r="W439">
        <v>0</v>
      </c>
      <c r="X439">
        <v>0</v>
      </c>
      <c r="Y439" t="s">
        <v>1000</v>
      </c>
      <c r="Z439">
        <v>161</v>
      </c>
      <c r="AA439">
        <v>40</v>
      </c>
      <c r="AB439">
        <v>375</v>
      </c>
      <c r="AC439">
        <v>45</v>
      </c>
      <c r="AD439">
        <v>418</v>
      </c>
      <c r="AE439">
        <v>49</v>
      </c>
      <c r="AF439">
        <v>650</v>
      </c>
      <c r="AG439">
        <v>80</v>
      </c>
      <c r="AH439">
        <f>fpl_player_statistics_cleaned[[#This Row],[Total Points]] / fpl_player_statistics_cleaned[[#This Row],[Now Cost]]</f>
        <v>0.18518518518518517</v>
      </c>
      <c r="AI439">
        <f>fpl_player_statistics_cleaned[[#This Row],[Goals Scored]] + fpl_player_statistics_cleaned[[#This Row],[Assists]]</f>
        <v>0</v>
      </c>
      <c r="AJ439" t="e">
        <f>fpl_player_statistics_cleaned[[#This Row],[Total Points]] / fpl_player_statistics_cleaned[[#This Row],[Starts]]</f>
        <v>#DIV/0!</v>
      </c>
      <c r="AK439">
        <f>((fpl_player_statistics_cleaned[[#This Row],[Points Per Game]]) * fpl_player_statistics_cleaned[[#This Row],[Form]]) / fpl_player_statistics_cleaned[[#This Row],[Now Cost]]</f>
        <v>3.7037037037037035E-2</v>
      </c>
      <c r="AL439">
        <f>fpl_player_statistics_cleaned[[#This Row],[Minutes]] / fpl_player_statistics_cleaned[[#This Row],[Total Points]]</f>
        <v>1</v>
      </c>
      <c r="AM43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3.7037037037037035E-2</v>
      </c>
    </row>
    <row r="440" spans="1:39" hidden="1" x14ac:dyDescent="0.2">
      <c r="A440" t="s">
        <v>470</v>
      </c>
      <c r="B440" t="s">
        <v>37</v>
      </c>
      <c r="C440" t="s">
        <v>35</v>
      </c>
      <c r="D440">
        <v>7.3</v>
      </c>
      <c r="E440">
        <v>1</v>
      </c>
      <c r="F440">
        <v>1</v>
      </c>
      <c r="G440">
        <v>0.3</v>
      </c>
      <c r="H440">
        <v>0</v>
      </c>
      <c r="I440">
        <v>0</v>
      </c>
      <c r="J440">
        <v>30</v>
      </c>
      <c r="K440">
        <v>0</v>
      </c>
      <c r="L440">
        <v>0</v>
      </c>
      <c r="M440">
        <v>0</v>
      </c>
      <c r="N440">
        <v>0</v>
      </c>
      <c r="O440">
        <v>0.6</v>
      </c>
      <c r="P440">
        <v>0</v>
      </c>
      <c r="Q440">
        <v>0</v>
      </c>
      <c r="R440">
        <v>0</v>
      </c>
      <c r="S440">
        <v>0.1</v>
      </c>
      <c r="T440">
        <v>0</v>
      </c>
      <c r="U440">
        <v>0.01</v>
      </c>
      <c r="V440">
        <v>0.01</v>
      </c>
      <c r="W440">
        <v>0.82</v>
      </c>
      <c r="X440">
        <v>0</v>
      </c>
      <c r="Y440" t="s">
        <v>307</v>
      </c>
      <c r="Z440">
        <v>27</v>
      </c>
      <c r="AA440">
        <v>11</v>
      </c>
      <c r="AB440">
        <v>746</v>
      </c>
      <c r="AC440">
        <v>83</v>
      </c>
      <c r="AD440">
        <v>431</v>
      </c>
      <c r="AE440">
        <v>54</v>
      </c>
      <c r="AF440">
        <v>291</v>
      </c>
      <c r="AG440">
        <v>46</v>
      </c>
      <c r="AI440">
        <v>0</v>
      </c>
    </row>
    <row r="441" spans="1:39" x14ac:dyDescent="0.2">
      <c r="A441" t="s">
        <v>471</v>
      </c>
      <c r="B441" t="s">
        <v>43</v>
      </c>
      <c r="C441" t="s">
        <v>38</v>
      </c>
      <c r="D441">
        <v>4.8</v>
      </c>
      <c r="E441">
        <v>1</v>
      </c>
      <c r="F441">
        <v>1</v>
      </c>
      <c r="G441">
        <v>0.1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0.2</v>
      </c>
      <c r="Q441">
        <v>0</v>
      </c>
      <c r="R441">
        <v>0</v>
      </c>
      <c r="S441">
        <v>0.2</v>
      </c>
      <c r="T441">
        <v>0</v>
      </c>
      <c r="U441">
        <v>0</v>
      </c>
      <c r="V441">
        <v>0</v>
      </c>
      <c r="W441">
        <v>0</v>
      </c>
      <c r="X441">
        <v>0</v>
      </c>
      <c r="Y441" t="s">
        <v>1000</v>
      </c>
      <c r="Z441">
        <v>359</v>
      </c>
      <c r="AA441">
        <v>60</v>
      </c>
      <c r="AB441">
        <v>363</v>
      </c>
      <c r="AC441">
        <v>127</v>
      </c>
      <c r="AD441">
        <v>397</v>
      </c>
      <c r="AE441">
        <v>140</v>
      </c>
      <c r="AF441">
        <v>443</v>
      </c>
      <c r="AG441">
        <v>160</v>
      </c>
      <c r="AH441">
        <f>fpl_player_statistics_cleaned[[#This Row],[Total Points]] / fpl_player_statistics_cleaned[[#This Row],[Now Cost]]</f>
        <v>0.20833333333333334</v>
      </c>
      <c r="AI441">
        <f>fpl_player_statistics_cleaned[[#This Row],[Goals Scored]] + fpl_player_statistics_cleaned[[#This Row],[Assists]]</f>
        <v>0</v>
      </c>
      <c r="AJ441" t="e">
        <f>fpl_player_statistics_cleaned[[#This Row],[Total Points]] / fpl_player_statistics_cleaned[[#This Row],[Starts]]</f>
        <v>#DIV/0!</v>
      </c>
      <c r="AK441">
        <f>((fpl_player_statistics_cleaned[[#This Row],[Points Per Game]]) * fpl_player_statistics_cleaned[[#This Row],[Form]]) / fpl_player_statistics_cleaned[[#This Row],[Now Cost]]</f>
        <v>4.1666666666666671E-2</v>
      </c>
      <c r="AL441">
        <f>fpl_player_statistics_cleaned[[#This Row],[Minutes]] / fpl_player_statistics_cleaned[[#This Row],[Total Points]]</f>
        <v>1</v>
      </c>
      <c r="AM44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4.1666666666666671E-2</v>
      </c>
    </row>
    <row r="442" spans="1:39" hidden="1" x14ac:dyDescent="0.2">
      <c r="A442" t="s">
        <v>472</v>
      </c>
      <c r="B442" t="s">
        <v>46</v>
      </c>
      <c r="C442" t="s">
        <v>41</v>
      </c>
      <c r="D442">
        <v>5.2</v>
      </c>
      <c r="E442">
        <v>1</v>
      </c>
      <c r="F442">
        <v>1</v>
      </c>
      <c r="G442">
        <v>0</v>
      </c>
      <c r="H442">
        <v>0</v>
      </c>
      <c r="I442">
        <v>0</v>
      </c>
      <c r="J442">
        <v>45</v>
      </c>
      <c r="K442">
        <v>0</v>
      </c>
      <c r="L442">
        <v>3</v>
      </c>
      <c r="M442">
        <v>0</v>
      </c>
      <c r="N442">
        <v>0</v>
      </c>
      <c r="O442">
        <v>0.6</v>
      </c>
      <c r="P442">
        <v>0</v>
      </c>
      <c r="Q442">
        <v>0</v>
      </c>
      <c r="R442">
        <v>0</v>
      </c>
      <c r="S442">
        <v>0.2</v>
      </c>
      <c r="T442">
        <v>0</v>
      </c>
      <c r="U442">
        <v>0.01</v>
      </c>
      <c r="V442">
        <v>0.01</v>
      </c>
      <c r="W442">
        <v>1.49</v>
      </c>
      <c r="X442">
        <v>1</v>
      </c>
      <c r="Y442" t="s">
        <v>473</v>
      </c>
      <c r="Z442">
        <v>228</v>
      </c>
      <c r="AA442">
        <v>141</v>
      </c>
      <c r="AB442">
        <v>702</v>
      </c>
      <c r="AC442">
        <v>302</v>
      </c>
      <c r="AD442">
        <v>415</v>
      </c>
      <c r="AE442">
        <v>197</v>
      </c>
      <c r="AF442">
        <v>615</v>
      </c>
      <c r="AG442">
        <v>246</v>
      </c>
      <c r="AI442">
        <v>0</v>
      </c>
    </row>
    <row r="443" spans="1:39" x14ac:dyDescent="0.2">
      <c r="A443" t="s">
        <v>474</v>
      </c>
      <c r="B443" t="s">
        <v>70</v>
      </c>
      <c r="C443" t="s">
        <v>41</v>
      </c>
      <c r="D443">
        <v>4.5</v>
      </c>
      <c r="E443">
        <v>1</v>
      </c>
      <c r="F443">
        <v>1</v>
      </c>
      <c r="G443">
        <v>0.1</v>
      </c>
      <c r="H443">
        <v>0</v>
      </c>
      <c r="I443">
        <v>0</v>
      </c>
      <c r="J443">
        <v>16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0.2</v>
      </c>
      <c r="T443">
        <v>0</v>
      </c>
      <c r="U443">
        <v>0</v>
      </c>
      <c r="V443">
        <v>0</v>
      </c>
      <c r="W443">
        <v>0.9</v>
      </c>
      <c r="X443">
        <v>0</v>
      </c>
      <c r="Y443" t="s">
        <v>1000</v>
      </c>
      <c r="Z443">
        <v>487</v>
      </c>
      <c r="AA443">
        <v>296</v>
      </c>
      <c r="AB443">
        <v>640</v>
      </c>
      <c r="AC443">
        <v>263</v>
      </c>
      <c r="AD443">
        <v>390</v>
      </c>
      <c r="AE443">
        <v>180</v>
      </c>
      <c r="AF443">
        <v>515</v>
      </c>
      <c r="AG443">
        <v>182</v>
      </c>
      <c r="AH443">
        <f>fpl_player_statistics_cleaned[[#This Row],[Total Points]] / fpl_player_statistics_cleaned[[#This Row],[Now Cost]]</f>
        <v>0.22222222222222221</v>
      </c>
      <c r="AI443">
        <f>fpl_player_statistics_cleaned[[#This Row],[Goals Scored]] + fpl_player_statistics_cleaned[[#This Row],[Assists]]</f>
        <v>0</v>
      </c>
      <c r="AJ443" t="e">
        <f>fpl_player_statistics_cleaned[[#This Row],[Total Points]] / fpl_player_statistics_cleaned[[#This Row],[Starts]]</f>
        <v>#DIV/0!</v>
      </c>
      <c r="AK443">
        <f>((fpl_player_statistics_cleaned[[#This Row],[Points Per Game]]) * fpl_player_statistics_cleaned[[#This Row],[Form]]) / fpl_player_statistics_cleaned[[#This Row],[Now Cost]]</f>
        <v>0</v>
      </c>
      <c r="AL443">
        <f>fpl_player_statistics_cleaned[[#This Row],[Minutes]] / fpl_player_statistics_cleaned[[#This Row],[Total Points]]</f>
        <v>16</v>
      </c>
      <c r="AM44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44" spans="1:39" hidden="1" x14ac:dyDescent="0.2">
      <c r="A444" t="s">
        <v>967</v>
      </c>
      <c r="B444" t="s">
        <v>43</v>
      </c>
      <c r="C444" t="s">
        <v>35</v>
      </c>
      <c r="D444">
        <v>5</v>
      </c>
      <c r="E444">
        <v>1</v>
      </c>
      <c r="F444">
        <v>1</v>
      </c>
      <c r="G444">
        <v>0.2</v>
      </c>
      <c r="H444">
        <v>0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0.2</v>
      </c>
      <c r="P444">
        <v>0</v>
      </c>
      <c r="Q444">
        <v>0</v>
      </c>
      <c r="R444">
        <v>0</v>
      </c>
      <c r="S444">
        <v>0.2</v>
      </c>
      <c r="T444">
        <v>0</v>
      </c>
      <c r="U444">
        <v>0</v>
      </c>
      <c r="V444">
        <v>0</v>
      </c>
      <c r="W444">
        <v>0.27</v>
      </c>
      <c r="X444">
        <v>0</v>
      </c>
      <c r="Y444" t="s">
        <v>475</v>
      </c>
      <c r="Z444">
        <v>250</v>
      </c>
      <c r="AA444">
        <v>50</v>
      </c>
      <c r="AB444">
        <v>683</v>
      </c>
      <c r="AC444">
        <v>73</v>
      </c>
      <c r="AD444">
        <v>407</v>
      </c>
      <c r="AE444">
        <v>46</v>
      </c>
      <c r="AF444">
        <v>335</v>
      </c>
      <c r="AG444">
        <v>54</v>
      </c>
      <c r="AI444">
        <v>0</v>
      </c>
    </row>
    <row r="445" spans="1:39" x14ac:dyDescent="0.2">
      <c r="A445" t="s">
        <v>476</v>
      </c>
      <c r="B445" t="s">
        <v>65</v>
      </c>
      <c r="C445" t="s">
        <v>35</v>
      </c>
      <c r="D445">
        <v>4.3</v>
      </c>
      <c r="E445">
        <v>1</v>
      </c>
      <c r="F445">
        <v>1</v>
      </c>
      <c r="G445">
        <v>1.3</v>
      </c>
      <c r="H445">
        <v>0</v>
      </c>
      <c r="I445">
        <v>0</v>
      </c>
      <c r="J445">
        <v>7</v>
      </c>
      <c r="K445">
        <v>0</v>
      </c>
      <c r="L445">
        <v>0</v>
      </c>
      <c r="M445">
        <v>0</v>
      </c>
      <c r="N445">
        <v>0</v>
      </c>
      <c r="O445">
        <v>0.1</v>
      </c>
      <c r="P445">
        <v>0.2</v>
      </c>
      <c r="Q445">
        <v>0</v>
      </c>
      <c r="R445">
        <v>0</v>
      </c>
      <c r="S445">
        <v>0.2</v>
      </c>
      <c r="T445">
        <v>0</v>
      </c>
      <c r="U445">
        <v>0</v>
      </c>
      <c r="V445">
        <v>0</v>
      </c>
      <c r="W445">
        <v>0.34</v>
      </c>
      <c r="X445">
        <v>0</v>
      </c>
      <c r="Y445" t="s">
        <v>1000</v>
      </c>
      <c r="Z445">
        <v>567</v>
      </c>
      <c r="AA445">
        <v>79</v>
      </c>
      <c r="AB445">
        <v>346</v>
      </c>
      <c r="AC445">
        <v>42</v>
      </c>
      <c r="AD445">
        <v>377</v>
      </c>
      <c r="AE445">
        <v>41</v>
      </c>
      <c r="AF445">
        <v>160</v>
      </c>
      <c r="AG445">
        <v>23</v>
      </c>
      <c r="AH445">
        <f>fpl_player_statistics_cleaned[[#This Row],[Total Points]] / fpl_player_statistics_cleaned[[#This Row],[Now Cost]]</f>
        <v>0.23255813953488372</v>
      </c>
      <c r="AI445">
        <f>fpl_player_statistics_cleaned[[#This Row],[Goals Scored]] + fpl_player_statistics_cleaned[[#This Row],[Assists]]</f>
        <v>0</v>
      </c>
      <c r="AJ445" t="e">
        <f>fpl_player_statistics_cleaned[[#This Row],[Total Points]] / fpl_player_statistics_cleaned[[#This Row],[Starts]]</f>
        <v>#DIV/0!</v>
      </c>
      <c r="AK445">
        <f>((fpl_player_statistics_cleaned[[#This Row],[Points Per Game]]) * fpl_player_statistics_cleaned[[#This Row],[Form]]) / fpl_player_statistics_cleaned[[#This Row],[Now Cost]]</f>
        <v>4.651162790697675E-2</v>
      </c>
      <c r="AL445">
        <f>fpl_player_statistics_cleaned[[#This Row],[Minutes]] / fpl_player_statistics_cleaned[[#This Row],[Total Points]]</f>
        <v>7</v>
      </c>
      <c r="AM44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4.651162790697675E-2</v>
      </c>
    </row>
    <row r="446" spans="1:39" x14ac:dyDescent="0.2">
      <c r="A446" t="s">
        <v>477</v>
      </c>
      <c r="B446" t="s">
        <v>43</v>
      </c>
      <c r="C446" t="s">
        <v>41</v>
      </c>
      <c r="D446">
        <v>4.7</v>
      </c>
      <c r="E446">
        <v>1</v>
      </c>
      <c r="F446">
        <v>1</v>
      </c>
      <c r="G446">
        <v>0.1</v>
      </c>
      <c r="H446">
        <v>0</v>
      </c>
      <c r="I446">
        <v>0</v>
      </c>
      <c r="J446">
        <v>24</v>
      </c>
      <c r="K446">
        <v>0</v>
      </c>
      <c r="L446">
        <v>0</v>
      </c>
      <c r="M446">
        <v>0</v>
      </c>
      <c r="N446">
        <v>0</v>
      </c>
      <c r="O446">
        <v>0.7</v>
      </c>
      <c r="P446">
        <v>0</v>
      </c>
      <c r="Q446">
        <v>0</v>
      </c>
      <c r="R446">
        <v>0</v>
      </c>
      <c r="S446">
        <v>0.2</v>
      </c>
      <c r="T446">
        <v>0</v>
      </c>
      <c r="U446">
        <v>0.01</v>
      </c>
      <c r="V446">
        <v>0.01</v>
      </c>
      <c r="W446">
        <v>0.27</v>
      </c>
      <c r="X446">
        <v>0</v>
      </c>
      <c r="Y446" t="s">
        <v>1000</v>
      </c>
      <c r="Z446">
        <v>387</v>
      </c>
      <c r="AA446">
        <v>242</v>
      </c>
      <c r="AB446">
        <v>646</v>
      </c>
      <c r="AC446">
        <v>266</v>
      </c>
      <c r="AD446">
        <v>395</v>
      </c>
      <c r="AE446">
        <v>184</v>
      </c>
      <c r="AF446">
        <v>408</v>
      </c>
      <c r="AG446">
        <v>139</v>
      </c>
      <c r="AH446">
        <f>fpl_player_statistics_cleaned[[#This Row],[Total Points]] / fpl_player_statistics_cleaned[[#This Row],[Now Cost]]</f>
        <v>0.21276595744680851</v>
      </c>
      <c r="AI446">
        <f>fpl_player_statistics_cleaned[[#This Row],[Goals Scored]] + fpl_player_statistics_cleaned[[#This Row],[Assists]]</f>
        <v>0</v>
      </c>
      <c r="AJ446" t="e">
        <f>fpl_player_statistics_cleaned[[#This Row],[Total Points]] / fpl_player_statistics_cleaned[[#This Row],[Starts]]</f>
        <v>#DIV/0!</v>
      </c>
      <c r="AK446">
        <f>((fpl_player_statistics_cleaned[[#This Row],[Points Per Game]]) * fpl_player_statistics_cleaned[[#This Row],[Form]]) / fpl_player_statistics_cleaned[[#This Row],[Now Cost]]</f>
        <v>0</v>
      </c>
      <c r="AL446">
        <f>fpl_player_statistics_cleaned[[#This Row],[Minutes]] / fpl_player_statistics_cleaned[[#This Row],[Total Points]]</f>
        <v>24</v>
      </c>
      <c r="AM44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47" spans="1:39" hidden="1" x14ac:dyDescent="0.2">
      <c r="A447" t="s">
        <v>478</v>
      </c>
      <c r="B447" t="s">
        <v>40</v>
      </c>
      <c r="C447" t="s">
        <v>55</v>
      </c>
      <c r="D447">
        <v>4.5</v>
      </c>
      <c r="E447">
        <v>0</v>
      </c>
      <c r="F447">
        <v>0</v>
      </c>
      <c r="G447">
        <v>0.1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 t="s">
        <v>479</v>
      </c>
      <c r="Z447">
        <v>392</v>
      </c>
      <c r="AA447">
        <v>21</v>
      </c>
      <c r="AB447">
        <v>578</v>
      </c>
      <c r="AC447">
        <v>79</v>
      </c>
      <c r="AD447">
        <v>623</v>
      </c>
      <c r="AE447">
        <v>82</v>
      </c>
      <c r="AF447">
        <v>518</v>
      </c>
      <c r="AG447">
        <v>77</v>
      </c>
      <c r="AI447">
        <v>0</v>
      </c>
    </row>
    <row r="448" spans="1:39" hidden="1" x14ac:dyDescent="0.2">
      <c r="A448" t="s">
        <v>480</v>
      </c>
      <c r="B448" t="s">
        <v>51</v>
      </c>
      <c r="C448" t="s">
        <v>38</v>
      </c>
      <c r="D448">
        <v>4.5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 t="s">
        <v>429</v>
      </c>
      <c r="Z448">
        <v>437</v>
      </c>
      <c r="AA448">
        <v>92</v>
      </c>
      <c r="AB448">
        <v>602</v>
      </c>
      <c r="AC448">
        <v>229</v>
      </c>
      <c r="AD448">
        <v>645</v>
      </c>
      <c r="AE448">
        <v>238</v>
      </c>
      <c r="AF448">
        <v>721</v>
      </c>
      <c r="AG448">
        <v>242</v>
      </c>
      <c r="AI448">
        <v>0</v>
      </c>
    </row>
    <row r="449" spans="1:39" x14ac:dyDescent="0.2">
      <c r="A449" t="s">
        <v>481</v>
      </c>
      <c r="B449" t="s">
        <v>40</v>
      </c>
      <c r="C449" t="s">
        <v>55</v>
      </c>
      <c r="D449">
        <v>4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 t="s">
        <v>1000</v>
      </c>
      <c r="Z449">
        <v>646</v>
      </c>
      <c r="AA449">
        <v>58</v>
      </c>
      <c r="AB449">
        <v>460</v>
      </c>
      <c r="AC449">
        <v>52</v>
      </c>
      <c r="AD449">
        <v>517</v>
      </c>
      <c r="AE449">
        <v>59</v>
      </c>
      <c r="AF449">
        <v>182</v>
      </c>
      <c r="AG449">
        <v>26</v>
      </c>
      <c r="AH449">
        <f>fpl_player_statistics_cleaned[[#This Row],[Total Points]] / fpl_player_statistics_cleaned[[#This Row],[Now Cost]]</f>
        <v>0</v>
      </c>
      <c r="AI449">
        <f>fpl_player_statistics_cleaned[[#This Row],[Goals Scored]] + fpl_player_statistics_cleaned[[#This Row],[Assists]]</f>
        <v>0</v>
      </c>
      <c r="AJ449" t="e">
        <f>fpl_player_statistics_cleaned[[#This Row],[Total Points]] / fpl_player_statistics_cleaned[[#This Row],[Starts]]</f>
        <v>#DIV/0!</v>
      </c>
      <c r="AK449">
        <f>((fpl_player_statistics_cleaned[[#This Row],[Points Per Game]]) * fpl_player_statistics_cleaned[[#This Row],[Form]]) / fpl_player_statistics_cleaned[[#This Row],[Now Cost]]</f>
        <v>0</v>
      </c>
      <c r="AL449" t="e">
        <f>fpl_player_statistics_cleaned[[#This Row],[Minutes]] / fpl_player_statistics_cleaned[[#This Row],[Total Points]]</f>
        <v>#DIV/0!</v>
      </c>
      <c r="AM44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50" spans="1:39" hidden="1" x14ac:dyDescent="0.2">
      <c r="A450" t="s">
        <v>482</v>
      </c>
      <c r="B450" t="s">
        <v>51</v>
      </c>
      <c r="C450" t="s">
        <v>38</v>
      </c>
      <c r="D450">
        <v>4.3</v>
      </c>
      <c r="E450">
        <v>0</v>
      </c>
      <c r="F450">
        <v>0</v>
      </c>
      <c r="G450">
        <v>0.1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t="s">
        <v>378</v>
      </c>
      <c r="Z450">
        <v>576</v>
      </c>
      <c r="AA450">
        <v>137</v>
      </c>
      <c r="AB450">
        <v>512</v>
      </c>
      <c r="AC450">
        <v>212</v>
      </c>
      <c r="AD450">
        <v>563</v>
      </c>
      <c r="AE450">
        <v>224</v>
      </c>
      <c r="AF450">
        <v>522</v>
      </c>
      <c r="AG450">
        <v>189</v>
      </c>
      <c r="AI450">
        <v>0</v>
      </c>
    </row>
    <row r="451" spans="1:39" hidden="1" x14ac:dyDescent="0.2">
      <c r="A451" t="s">
        <v>483</v>
      </c>
      <c r="B451" t="s">
        <v>40</v>
      </c>
      <c r="C451" t="s">
        <v>41</v>
      </c>
      <c r="D451">
        <v>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 t="s">
        <v>484</v>
      </c>
      <c r="Z451">
        <v>259</v>
      </c>
      <c r="AA451">
        <v>160</v>
      </c>
      <c r="AB451">
        <v>684</v>
      </c>
      <c r="AC451">
        <v>288</v>
      </c>
      <c r="AD451">
        <v>710</v>
      </c>
      <c r="AE451">
        <v>305</v>
      </c>
      <c r="AF451">
        <v>693</v>
      </c>
      <c r="AG451">
        <v>298</v>
      </c>
      <c r="AI451">
        <v>0</v>
      </c>
    </row>
    <row r="452" spans="1:39" hidden="1" x14ac:dyDescent="0.2">
      <c r="A452" t="s">
        <v>485</v>
      </c>
      <c r="B452" t="s">
        <v>51</v>
      </c>
      <c r="C452" t="s">
        <v>41</v>
      </c>
      <c r="D452">
        <v>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 t="s">
        <v>486</v>
      </c>
      <c r="Z452">
        <v>277</v>
      </c>
      <c r="AA452">
        <v>171</v>
      </c>
      <c r="AB452">
        <v>692</v>
      </c>
      <c r="AC452">
        <v>295</v>
      </c>
      <c r="AD452">
        <v>718</v>
      </c>
      <c r="AE452">
        <v>312</v>
      </c>
      <c r="AF452">
        <v>731</v>
      </c>
      <c r="AG452">
        <v>321</v>
      </c>
      <c r="AI452">
        <v>0</v>
      </c>
    </row>
    <row r="453" spans="1:39" hidden="1" x14ac:dyDescent="0.2">
      <c r="A453" t="s">
        <v>487</v>
      </c>
      <c r="B453" t="s">
        <v>51</v>
      </c>
      <c r="C453" t="s">
        <v>41</v>
      </c>
      <c r="D453">
        <v>6.4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 t="s">
        <v>429</v>
      </c>
      <c r="Z453">
        <v>65</v>
      </c>
      <c r="AA453">
        <v>43</v>
      </c>
      <c r="AB453">
        <v>738</v>
      </c>
      <c r="AC453">
        <v>327</v>
      </c>
      <c r="AD453">
        <v>745</v>
      </c>
      <c r="AE453">
        <v>330</v>
      </c>
      <c r="AF453">
        <v>687</v>
      </c>
      <c r="AG453">
        <v>294</v>
      </c>
      <c r="AI453">
        <v>0</v>
      </c>
    </row>
    <row r="454" spans="1:39" hidden="1" x14ac:dyDescent="0.2">
      <c r="A454" t="s">
        <v>488</v>
      </c>
      <c r="B454" t="s">
        <v>51</v>
      </c>
      <c r="C454" t="s">
        <v>41</v>
      </c>
      <c r="D454">
        <v>4.9000000000000004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 t="s">
        <v>489</v>
      </c>
      <c r="Z454">
        <v>321</v>
      </c>
      <c r="AA454">
        <v>202</v>
      </c>
      <c r="AB454">
        <v>670</v>
      </c>
      <c r="AC454">
        <v>279</v>
      </c>
      <c r="AD454">
        <v>699</v>
      </c>
      <c r="AE454">
        <v>297</v>
      </c>
      <c r="AF454">
        <v>624</v>
      </c>
      <c r="AG454">
        <v>252</v>
      </c>
      <c r="AI454">
        <v>0</v>
      </c>
    </row>
    <row r="455" spans="1:39" hidden="1" x14ac:dyDescent="0.2">
      <c r="A455" t="s">
        <v>490</v>
      </c>
      <c r="B455" t="s">
        <v>40</v>
      </c>
      <c r="C455" t="s">
        <v>41</v>
      </c>
      <c r="D455">
        <v>4.5</v>
      </c>
      <c r="E455">
        <v>0</v>
      </c>
      <c r="F455">
        <v>0</v>
      </c>
      <c r="G455">
        <v>0.1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 t="s">
        <v>491</v>
      </c>
      <c r="Z455">
        <v>422</v>
      </c>
      <c r="AA455">
        <v>251</v>
      </c>
      <c r="AB455">
        <v>591</v>
      </c>
      <c r="AC455">
        <v>223</v>
      </c>
      <c r="AD455">
        <v>634</v>
      </c>
      <c r="AE455">
        <v>249</v>
      </c>
      <c r="AF455">
        <v>503</v>
      </c>
      <c r="AG455">
        <v>177</v>
      </c>
      <c r="AI455">
        <v>0</v>
      </c>
    </row>
    <row r="456" spans="1:39" hidden="1" x14ac:dyDescent="0.2">
      <c r="A456" t="s">
        <v>492</v>
      </c>
      <c r="B456" t="s">
        <v>40</v>
      </c>
      <c r="C456" t="s">
        <v>41</v>
      </c>
      <c r="D456">
        <v>4.5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 t="s">
        <v>493</v>
      </c>
      <c r="Z456">
        <v>451</v>
      </c>
      <c r="AA456">
        <v>271</v>
      </c>
      <c r="AB456">
        <v>612</v>
      </c>
      <c r="AC456">
        <v>242</v>
      </c>
      <c r="AD456">
        <v>655</v>
      </c>
      <c r="AE456">
        <v>268</v>
      </c>
      <c r="AF456">
        <v>598</v>
      </c>
      <c r="AG456">
        <v>235</v>
      </c>
      <c r="AI456">
        <v>0</v>
      </c>
    </row>
    <row r="457" spans="1:39" x14ac:dyDescent="0.2">
      <c r="A457" t="s">
        <v>968</v>
      </c>
      <c r="B457" t="s">
        <v>51</v>
      </c>
      <c r="C457" t="s">
        <v>55</v>
      </c>
      <c r="D457">
        <v>3.9</v>
      </c>
      <c r="E457">
        <v>0</v>
      </c>
      <c r="F457">
        <v>0</v>
      </c>
      <c r="G457">
        <v>1.9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 t="s">
        <v>1000</v>
      </c>
      <c r="Z457">
        <v>721</v>
      </c>
      <c r="AA457">
        <v>83</v>
      </c>
      <c r="AB457">
        <v>409</v>
      </c>
      <c r="AC457">
        <v>31</v>
      </c>
      <c r="AD457">
        <v>467</v>
      </c>
      <c r="AE457">
        <v>38</v>
      </c>
      <c r="AF457">
        <v>130</v>
      </c>
      <c r="AG457">
        <v>18</v>
      </c>
      <c r="AH457">
        <f>fpl_player_statistics_cleaned[[#This Row],[Total Points]] / fpl_player_statistics_cleaned[[#This Row],[Now Cost]]</f>
        <v>0</v>
      </c>
      <c r="AI457">
        <f>fpl_player_statistics_cleaned[[#This Row],[Goals Scored]] + fpl_player_statistics_cleaned[[#This Row],[Assists]]</f>
        <v>0</v>
      </c>
      <c r="AJ457" t="e">
        <f>fpl_player_statistics_cleaned[[#This Row],[Total Points]] / fpl_player_statistics_cleaned[[#This Row],[Starts]]</f>
        <v>#DIV/0!</v>
      </c>
      <c r="AK457">
        <f>((fpl_player_statistics_cleaned[[#This Row],[Points Per Game]]) * fpl_player_statistics_cleaned[[#This Row],[Form]]) / fpl_player_statistics_cleaned[[#This Row],[Now Cost]]</f>
        <v>0</v>
      </c>
      <c r="AL457" t="e">
        <f>fpl_player_statistics_cleaned[[#This Row],[Minutes]] / fpl_player_statistics_cleaned[[#This Row],[Total Points]]</f>
        <v>#DIV/0!</v>
      </c>
      <c r="AM45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58" spans="1:39" x14ac:dyDescent="0.2">
      <c r="A458" t="s">
        <v>494</v>
      </c>
      <c r="B458" t="s">
        <v>51</v>
      </c>
      <c r="C458" t="s">
        <v>55</v>
      </c>
      <c r="D458">
        <v>3.9</v>
      </c>
      <c r="E458">
        <v>0</v>
      </c>
      <c r="F458">
        <v>0</v>
      </c>
      <c r="G458">
        <v>0.3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 t="s">
        <v>1000</v>
      </c>
      <c r="Z458">
        <v>706</v>
      </c>
      <c r="AA458">
        <v>78</v>
      </c>
      <c r="AB458">
        <v>396</v>
      </c>
      <c r="AC458">
        <v>26</v>
      </c>
      <c r="AD458">
        <v>454</v>
      </c>
      <c r="AE458">
        <v>33</v>
      </c>
      <c r="AF458">
        <v>298</v>
      </c>
      <c r="AG458">
        <v>41</v>
      </c>
      <c r="AH458">
        <f>fpl_player_statistics_cleaned[[#This Row],[Total Points]] / fpl_player_statistics_cleaned[[#This Row],[Now Cost]]</f>
        <v>0</v>
      </c>
      <c r="AI458">
        <f>fpl_player_statistics_cleaned[[#This Row],[Goals Scored]] + fpl_player_statistics_cleaned[[#This Row],[Assists]]</f>
        <v>0</v>
      </c>
      <c r="AJ458" t="e">
        <f>fpl_player_statistics_cleaned[[#This Row],[Total Points]] / fpl_player_statistics_cleaned[[#This Row],[Starts]]</f>
        <v>#DIV/0!</v>
      </c>
      <c r="AK458">
        <f>((fpl_player_statistics_cleaned[[#This Row],[Points Per Game]]) * fpl_player_statistics_cleaned[[#This Row],[Form]]) / fpl_player_statistics_cleaned[[#This Row],[Now Cost]]</f>
        <v>0</v>
      </c>
      <c r="AL458" t="e">
        <f>fpl_player_statistics_cleaned[[#This Row],[Minutes]] / fpl_player_statistics_cleaned[[#This Row],[Total Points]]</f>
        <v>#DIV/0!</v>
      </c>
      <c r="AM45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59" spans="1:39" hidden="1" x14ac:dyDescent="0.2">
      <c r="A459" t="s">
        <v>495</v>
      </c>
      <c r="B459" t="s">
        <v>40</v>
      </c>
      <c r="C459" t="s">
        <v>41</v>
      </c>
      <c r="D459">
        <v>4.4000000000000004</v>
      </c>
      <c r="E459">
        <v>0</v>
      </c>
      <c r="F459">
        <v>0</v>
      </c>
      <c r="G459">
        <v>0.1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 t="s">
        <v>496</v>
      </c>
      <c r="Z459">
        <v>541</v>
      </c>
      <c r="AA459">
        <v>312</v>
      </c>
      <c r="AB459">
        <v>555</v>
      </c>
      <c r="AC459">
        <v>200</v>
      </c>
      <c r="AD459">
        <v>600</v>
      </c>
      <c r="AE459">
        <v>227</v>
      </c>
      <c r="AF459">
        <v>497</v>
      </c>
      <c r="AG459">
        <v>175</v>
      </c>
      <c r="AI459">
        <v>0</v>
      </c>
    </row>
    <row r="460" spans="1:39" hidden="1" x14ac:dyDescent="0.2">
      <c r="A460" t="s">
        <v>497</v>
      </c>
      <c r="B460" t="s">
        <v>40</v>
      </c>
      <c r="C460" t="s">
        <v>41</v>
      </c>
      <c r="D460">
        <v>4.9000000000000004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 t="s">
        <v>498</v>
      </c>
      <c r="Z460">
        <v>296</v>
      </c>
      <c r="AA460">
        <v>187</v>
      </c>
      <c r="AB460">
        <v>662</v>
      </c>
      <c r="AC460">
        <v>274</v>
      </c>
      <c r="AD460">
        <v>693</v>
      </c>
      <c r="AE460">
        <v>292</v>
      </c>
      <c r="AF460">
        <v>640</v>
      </c>
      <c r="AG460">
        <v>262</v>
      </c>
      <c r="AI460">
        <v>0</v>
      </c>
    </row>
    <row r="461" spans="1:39" hidden="1" x14ac:dyDescent="0.2">
      <c r="A461" t="s">
        <v>499</v>
      </c>
      <c r="B461" t="s">
        <v>51</v>
      </c>
      <c r="C461" t="s">
        <v>41</v>
      </c>
      <c r="D461">
        <v>5.4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 t="s">
        <v>500</v>
      </c>
      <c r="Z461">
        <v>168</v>
      </c>
      <c r="AA461">
        <v>103</v>
      </c>
      <c r="AB461">
        <v>712</v>
      </c>
      <c r="AC461">
        <v>307</v>
      </c>
      <c r="AD461">
        <v>729</v>
      </c>
      <c r="AE461">
        <v>318</v>
      </c>
      <c r="AF461">
        <v>710</v>
      </c>
      <c r="AG461">
        <v>308</v>
      </c>
      <c r="AI461">
        <v>0</v>
      </c>
    </row>
    <row r="462" spans="1:39" hidden="1" x14ac:dyDescent="0.2">
      <c r="A462" t="s">
        <v>501</v>
      </c>
      <c r="B462" t="s">
        <v>40</v>
      </c>
      <c r="C462" t="s">
        <v>38</v>
      </c>
      <c r="D462">
        <v>3.9</v>
      </c>
      <c r="E462">
        <v>0</v>
      </c>
      <c r="F462">
        <v>0</v>
      </c>
      <c r="G462">
        <v>0.3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t="s">
        <v>145</v>
      </c>
      <c r="Z462">
        <v>733</v>
      </c>
      <c r="AA462">
        <v>231</v>
      </c>
      <c r="AB462">
        <v>421</v>
      </c>
      <c r="AC462">
        <v>158</v>
      </c>
      <c r="AD462">
        <v>478</v>
      </c>
      <c r="AE462">
        <v>175</v>
      </c>
      <c r="AF462">
        <v>331</v>
      </c>
      <c r="AG462">
        <v>116</v>
      </c>
      <c r="AI462">
        <v>0</v>
      </c>
    </row>
    <row r="463" spans="1:39" hidden="1" x14ac:dyDescent="0.2">
      <c r="A463" t="s">
        <v>502</v>
      </c>
      <c r="B463" t="s">
        <v>40</v>
      </c>
      <c r="C463" t="s">
        <v>38</v>
      </c>
      <c r="D463">
        <v>4</v>
      </c>
      <c r="E463">
        <v>0</v>
      </c>
      <c r="F463">
        <v>0</v>
      </c>
      <c r="G463">
        <v>0.1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 t="s">
        <v>503</v>
      </c>
      <c r="Z463">
        <v>637</v>
      </c>
      <c r="AA463">
        <v>167</v>
      </c>
      <c r="AB463">
        <v>453</v>
      </c>
      <c r="AC463">
        <v>176</v>
      </c>
      <c r="AD463">
        <v>510</v>
      </c>
      <c r="AE463">
        <v>193</v>
      </c>
      <c r="AF463">
        <v>489</v>
      </c>
      <c r="AG463">
        <v>178</v>
      </c>
      <c r="AI463">
        <v>0</v>
      </c>
    </row>
    <row r="464" spans="1:39" x14ac:dyDescent="0.2">
      <c r="A464" t="s">
        <v>504</v>
      </c>
      <c r="B464" t="s">
        <v>40</v>
      </c>
      <c r="C464" t="s">
        <v>55</v>
      </c>
      <c r="D464">
        <v>4</v>
      </c>
      <c r="E464">
        <v>0</v>
      </c>
      <c r="F464">
        <v>0</v>
      </c>
      <c r="G464">
        <v>0.2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 t="s">
        <v>1000</v>
      </c>
      <c r="Z464">
        <v>682</v>
      </c>
      <c r="AA464">
        <v>72</v>
      </c>
      <c r="AB464">
        <v>490</v>
      </c>
      <c r="AC464">
        <v>66</v>
      </c>
      <c r="AD464">
        <v>546</v>
      </c>
      <c r="AE464">
        <v>73</v>
      </c>
      <c r="AF464">
        <v>361</v>
      </c>
      <c r="AG464">
        <v>55</v>
      </c>
      <c r="AH464">
        <f>fpl_player_statistics_cleaned[[#This Row],[Total Points]] / fpl_player_statistics_cleaned[[#This Row],[Now Cost]]</f>
        <v>0</v>
      </c>
      <c r="AI464">
        <f>fpl_player_statistics_cleaned[[#This Row],[Goals Scored]] + fpl_player_statistics_cleaned[[#This Row],[Assists]]</f>
        <v>0</v>
      </c>
      <c r="AJ464" t="e">
        <f>fpl_player_statistics_cleaned[[#This Row],[Total Points]] / fpl_player_statistics_cleaned[[#This Row],[Starts]]</f>
        <v>#DIV/0!</v>
      </c>
      <c r="AK464">
        <f>((fpl_player_statistics_cleaned[[#This Row],[Points Per Game]]) * fpl_player_statistics_cleaned[[#This Row],[Form]]) / fpl_player_statistics_cleaned[[#This Row],[Now Cost]]</f>
        <v>0</v>
      </c>
      <c r="AL464" t="e">
        <f>fpl_player_statistics_cleaned[[#This Row],[Minutes]] / fpl_player_statistics_cleaned[[#This Row],[Total Points]]</f>
        <v>#DIV/0!</v>
      </c>
      <c r="AM46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65" spans="1:39" hidden="1" x14ac:dyDescent="0.2">
      <c r="A465" t="s">
        <v>505</v>
      </c>
      <c r="B465" t="s">
        <v>51</v>
      </c>
      <c r="C465" t="s">
        <v>38</v>
      </c>
      <c r="D465">
        <v>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 t="s">
        <v>506</v>
      </c>
      <c r="Z465">
        <v>675</v>
      </c>
      <c r="AA465">
        <v>190</v>
      </c>
      <c r="AB465">
        <v>483</v>
      </c>
      <c r="AC465">
        <v>191</v>
      </c>
      <c r="AD465">
        <v>539</v>
      </c>
      <c r="AE465">
        <v>207</v>
      </c>
      <c r="AF465">
        <v>680</v>
      </c>
      <c r="AG465">
        <v>231</v>
      </c>
      <c r="AI465">
        <v>0</v>
      </c>
    </row>
    <row r="466" spans="1:39" hidden="1" x14ac:dyDescent="0.2">
      <c r="A466" t="s">
        <v>507</v>
      </c>
      <c r="B466" t="s">
        <v>51</v>
      </c>
      <c r="C466" t="s">
        <v>41</v>
      </c>
      <c r="D466">
        <v>5.2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 t="s">
        <v>267</v>
      </c>
      <c r="Z466">
        <v>218</v>
      </c>
      <c r="AA466">
        <v>136</v>
      </c>
      <c r="AB466">
        <v>699</v>
      </c>
      <c r="AC466">
        <v>300</v>
      </c>
      <c r="AD466">
        <v>723</v>
      </c>
      <c r="AE466">
        <v>315</v>
      </c>
      <c r="AF466">
        <v>592</v>
      </c>
      <c r="AG466">
        <v>230</v>
      </c>
      <c r="AI466">
        <v>0</v>
      </c>
    </row>
    <row r="467" spans="1:39" hidden="1" x14ac:dyDescent="0.2">
      <c r="A467" t="s">
        <v>508</v>
      </c>
      <c r="B467" t="s">
        <v>51</v>
      </c>
      <c r="C467" t="s">
        <v>38</v>
      </c>
      <c r="D467">
        <v>4</v>
      </c>
      <c r="E467">
        <v>0</v>
      </c>
      <c r="F467">
        <v>0</v>
      </c>
      <c r="G467">
        <v>0.1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 t="s">
        <v>509</v>
      </c>
      <c r="Z467">
        <v>678</v>
      </c>
      <c r="AA467">
        <v>191</v>
      </c>
      <c r="AB467">
        <v>486</v>
      </c>
      <c r="AC467">
        <v>192</v>
      </c>
      <c r="AD467">
        <v>542</v>
      </c>
      <c r="AE467">
        <v>208</v>
      </c>
      <c r="AF467">
        <v>560</v>
      </c>
      <c r="AG467">
        <v>201</v>
      </c>
      <c r="AI467">
        <v>0</v>
      </c>
    </row>
    <row r="468" spans="1:39" hidden="1" x14ac:dyDescent="0.2">
      <c r="A468" t="s">
        <v>510</v>
      </c>
      <c r="B468" t="s">
        <v>51</v>
      </c>
      <c r="C468" t="s">
        <v>38</v>
      </c>
      <c r="D468">
        <v>3.9</v>
      </c>
      <c r="E468">
        <v>0</v>
      </c>
      <c r="F468">
        <v>0</v>
      </c>
      <c r="G468">
        <v>0.4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 t="s">
        <v>511</v>
      </c>
      <c r="Z468">
        <v>747</v>
      </c>
      <c r="AA468">
        <v>244</v>
      </c>
      <c r="AB468">
        <v>433</v>
      </c>
      <c r="AC468">
        <v>169</v>
      </c>
      <c r="AD468">
        <v>490</v>
      </c>
      <c r="AE468">
        <v>186</v>
      </c>
      <c r="AF468">
        <v>262</v>
      </c>
      <c r="AG468">
        <v>99</v>
      </c>
      <c r="AI468">
        <v>0</v>
      </c>
    </row>
    <row r="469" spans="1:39" hidden="1" x14ac:dyDescent="0.2">
      <c r="A469" t="s">
        <v>512</v>
      </c>
      <c r="B469" t="s">
        <v>51</v>
      </c>
      <c r="C469" t="s">
        <v>41</v>
      </c>
      <c r="D469">
        <v>8.5</v>
      </c>
      <c r="E469">
        <v>0</v>
      </c>
      <c r="F469">
        <v>0</v>
      </c>
      <c r="G469">
        <v>0.1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 t="s">
        <v>513</v>
      </c>
      <c r="Z469">
        <v>9</v>
      </c>
      <c r="AA469">
        <v>5</v>
      </c>
      <c r="AB469">
        <v>749</v>
      </c>
      <c r="AC469">
        <v>333</v>
      </c>
      <c r="AD469">
        <v>752</v>
      </c>
      <c r="AE469">
        <v>334</v>
      </c>
      <c r="AF469">
        <v>425</v>
      </c>
      <c r="AG469">
        <v>145</v>
      </c>
      <c r="AI469">
        <v>0</v>
      </c>
    </row>
    <row r="470" spans="1:39" x14ac:dyDescent="0.2">
      <c r="A470" t="s">
        <v>969</v>
      </c>
      <c r="B470" t="s">
        <v>40</v>
      </c>
      <c r="C470" t="s">
        <v>38</v>
      </c>
      <c r="D470">
        <v>3.9</v>
      </c>
      <c r="E470">
        <v>0</v>
      </c>
      <c r="F470">
        <v>0</v>
      </c>
      <c r="G470">
        <v>0.7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 t="s">
        <v>1000</v>
      </c>
      <c r="Z470">
        <v>711</v>
      </c>
      <c r="AA470">
        <v>216</v>
      </c>
      <c r="AB470">
        <v>400</v>
      </c>
      <c r="AC470">
        <v>144</v>
      </c>
      <c r="AD470">
        <v>458</v>
      </c>
      <c r="AE470">
        <v>162</v>
      </c>
      <c r="AF470">
        <v>205</v>
      </c>
      <c r="AG470">
        <v>78</v>
      </c>
      <c r="AH470">
        <f>fpl_player_statistics_cleaned[[#This Row],[Total Points]] / fpl_player_statistics_cleaned[[#This Row],[Now Cost]]</f>
        <v>0</v>
      </c>
      <c r="AI470">
        <f>fpl_player_statistics_cleaned[[#This Row],[Goals Scored]] + fpl_player_statistics_cleaned[[#This Row],[Assists]]</f>
        <v>0</v>
      </c>
      <c r="AJ470" t="e">
        <f>fpl_player_statistics_cleaned[[#This Row],[Total Points]] / fpl_player_statistics_cleaned[[#This Row],[Starts]]</f>
        <v>#DIV/0!</v>
      </c>
      <c r="AK470">
        <f>((fpl_player_statistics_cleaned[[#This Row],[Points Per Game]]) * fpl_player_statistics_cleaned[[#This Row],[Form]]) / fpl_player_statistics_cleaned[[#This Row],[Now Cost]]</f>
        <v>0</v>
      </c>
      <c r="AL470" t="e">
        <f>fpl_player_statistics_cleaned[[#This Row],[Minutes]] / fpl_player_statistics_cleaned[[#This Row],[Total Points]]</f>
        <v>#DIV/0!</v>
      </c>
      <c r="AM47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71" spans="1:39" hidden="1" x14ac:dyDescent="0.2">
      <c r="A471" t="s">
        <v>514</v>
      </c>
      <c r="B471" t="s">
        <v>51</v>
      </c>
      <c r="C471" t="s">
        <v>41</v>
      </c>
      <c r="D471">
        <v>6.9</v>
      </c>
      <c r="E471">
        <v>0</v>
      </c>
      <c r="F471">
        <v>0</v>
      </c>
      <c r="G471">
        <v>0.1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 t="s">
        <v>515</v>
      </c>
      <c r="Z471">
        <v>38</v>
      </c>
      <c r="AA471">
        <v>23</v>
      </c>
      <c r="AB471">
        <v>742</v>
      </c>
      <c r="AC471">
        <v>329</v>
      </c>
      <c r="AD471">
        <v>748</v>
      </c>
      <c r="AE471">
        <v>331</v>
      </c>
      <c r="AF471">
        <v>427</v>
      </c>
      <c r="AG471">
        <v>147</v>
      </c>
      <c r="AI471">
        <v>0</v>
      </c>
    </row>
    <row r="472" spans="1:39" hidden="1" x14ac:dyDescent="0.2">
      <c r="A472" t="s">
        <v>516</v>
      </c>
      <c r="B472" t="s">
        <v>40</v>
      </c>
      <c r="C472" t="s">
        <v>55</v>
      </c>
      <c r="D472">
        <v>4</v>
      </c>
      <c r="E472">
        <v>0</v>
      </c>
      <c r="F472">
        <v>0</v>
      </c>
      <c r="G472">
        <v>0.1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 t="s">
        <v>517</v>
      </c>
      <c r="Z472">
        <v>666</v>
      </c>
      <c r="AA472">
        <v>66</v>
      </c>
      <c r="AB472">
        <v>475</v>
      </c>
      <c r="AC472">
        <v>60</v>
      </c>
      <c r="AD472">
        <v>532</v>
      </c>
      <c r="AE472">
        <v>67</v>
      </c>
      <c r="AF472">
        <v>511</v>
      </c>
      <c r="AG472">
        <v>76</v>
      </c>
      <c r="AI472">
        <v>0</v>
      </c>
    </row>
    <row r="473" spans="1:39" hidden="1" x14ac:dyDescent="0.2">
      <c r="A473" t="s">
        <v>518</v>
      </c>
      <c r="B473" t="s">
        <v>40</v>
      </c>
      <c r="C473" t="s">
        <v>38</v>
      </c>
      <c r="D473">
        <v>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 t="s">
        <v>519</v>
      </c>
      <c r="Z473">
        <v>272</v>
      </c>
      <c r="AA473">
        <v>42</v>
      </c>
      <c r="AB473">
        <v>689</v>
      </c>
      <c r="AC473">
        <v>240</v>
      </c>
      <c r="AD473">
        <v>715</v>
      </c>
      <c r="AE473">
        <v>245</v>
      </c>
      <c r="AF473">
        <v>636</v>
      </c>
      <c r="AG473">
        <v>220</v>
      </c>
      <c r="AI473">
        <v>0</v>
      </c>
    </row>
    <row r="474" spans="1:39" x14ac:dyDescent="0.2">
      <c r="A474" t="s">
        <v>520</v>
      </c>
      <c r="B474" t="s">
        <v>40</v>
      </c>
      <c r="C474" t="s">
        <v>38</v>
      </c>
      <c r="D474">
        <v>3.9</v>
      </c>
      <c r="E474">
        <v>0</v>
      </c>
      <c r="F474">
        <v>0</v>
      </c>
      <c r="G474">
        <v>0.2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 t="s">
        <v>1000</v>
      </c>
      <c r="Z474">
        <v>730</v>
      </c>
      <c r="AA474">
        <v>228</v>
      </c>
      <c r="AB474">
        <v>418</v>
      </c>
      <c r="AC474">
        <v>155</v>
      </c>
      <c r="AD474">
        <v>476</v>
      </c>
      <c r="AE474">
        <v>173</v>
      </c>
      <c r="AF474">
        <v>393</v>
      </c>
      <c r="AG474">
        <v>144</v>
      </c>
      <c r="AH474">
        <f>fpl_player_statistics_cleaned[[#This Row],[Total Points]] / fpl_player_statistics_cleaned[[#This Row],[Now Cost]]</f>
        <v>0</v>
      </c>
      <c r="AI474">
        <f>fpl_player_statistics_cleaned[[#This Row],[Goals Scored]] + fpl_player_statistics_cleaned[[#This Row],[Assists]]</f>
        <v>0</v>
      </c>
      <c r="AJ474" t="e">
        <f>fpl_player_statistics_cleaned[[#This Row],[Total Points]] / fpl_player_statistics_cleaned[[#This Row],[Starts]]</f>
        <v>#DIV/0!</v>
      </c>
      <c r="AK474">
        <f>((fpl_player_statistics_cleaned[[#This Row],[Points Per Game]]) * fpl_player_statistics_cleaned[[#This Row],[Form]]) / fpl_player_statistics_cleaned[[#This Row],[Now Cost]]</f>
        <v>0</v>
      </c>
      <c r="AL474" t="e">
        <f>fpl_player_statistics_cleaned[[#This Row],[Minutes]] / fpl_player_statistics_cleaned[[#This Row],[Total Points]]</f>
        <v>#DIV/0!</v>
      </c>
      <c r="AM47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75" spans="1:39" x14ac:dyDescent="0.2">
      <c r="A475" t="s">
        <v>521</v>
      </c>
      <c r="B475" t="s">
        <v>63</v>
      </c>
      <c r="C475" t="s">
        <v>38</v>
      </c>
      <c r="D475">
        <v>3.8</v>
      </c>
      <c r="E475">
        <v>0</v>
      </c>
      <c r="F475">
        <v>0</v>
      </c>
      <c r="G475">
        <v>0.2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 t="s">
        <v>1000</v>
      </c>
      <c r="Z475">
        <v>750</v>
      </c>
      <c r="AA475">
        <v>247</v>
      </c>
      <c r="AB475">
        <v>385</v>
      </c>
      <c r="AC475">
        <v>134</v>
      </c>
      <c r="AD475">
        <v>447</v>
      </c>
      <c r="AE475">
        <v>156</v>
      </c>
      <c r="AF475">
        <v>344</v>
      </c>
      <c r="AG475">
        <v>122</v>
      </c>
      <c r="AH475">
        <f>fpl_player_statistics_cleaned[[#This Row],[Total Points]] / fpl_player_statistics_cleaned[[#This Row],[Now Cost]]</f>
        <v>0</v>
      </c>
      <c r="AI475">
        <f>fpl_player_statistics_cleaned[[#This Row],[Goals Scored]] + fpl_player_statistics_cleaned[[#This Row],[Assists]]</f>
        <v>0</v>
      </c>
      <c r="AJ475" t="e">
        <f>fpl_player_statistics_cleaned[[#This Row],[Total Points]] / fpl_player_statistics_cleaned[[#This Row],[Starts]]</f>
        <v>#DIV/0!</v>
      </c>
      <c r="AK475">
        <f>((fpl_player_statistics_cleaned[[#This Row],[Points Per Game]]) * fpl_player_statistics_cleaned[[#This Row],[Form]]) / fpl_player_statistics_cleaned[[#This Row],[Now Cost]]</f>
        <v>0</v>
      </c>
      <c r="AL475" t="e">
        <f>fpl_player_statistics_cleaned[[#This Row],[Minutes]] / fpl_player_statistics_cleaned[[#This Row],[Total Points]]</f>
        <v>#DIV/0!</v>
      </c>
      <c r="AM47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76" spans="1:39" x14ac:dyDescent="0.2">
      <c r="A476" t="s">
        <v>522</v>
      </c>
      <c r="B476" t="s">
        <v>46</v>
      </c>
      <c r="C476" t="s">
        <v>55</v>
      </c>
      <c r="D476">
        <v>4</v>
      </c>
      <c r="E476">
        <v>0</v>
      </c>
      <c r="F476">
        <v>0</v>
      </c>
      <c r="G476">
        <v>0.1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 t="s">
        <v>1000</v>
      </c>
      <c r="Z476">
        <v>669</v>
      </c>
      <c r="AA476">
        <v>67</v>
      </c>
      <c r="AB476">
        <v>478</v>
      </c>
      <c r="AC476">
        <v>61</v>
      </c>
      <c r="AD476">
        <v>535</v>
      </c>
      <c r="AE476">
        <v>68</v>
      </c>
      <c r="AF476">
        <v>415</v>
      </c>
      <c r="AG476">
        <v>63</v>
      </c>
      <c r="AH476">
        <f>fpl_player_statistics_cleaned[[#This Row],[Total Points]] / fpl_player_statistics_cleaned[[#This Row],[Now Cost]]</f>
        <v>0</v>
      </c>
      <c r="AI476">
        <f>fpl_player_statistics_cleaned[[#This Row],[Goals Scored]] + fpl_player_statistics_cleaned[[#This Row],[Assists]]</f>
        <v>0</v>
      </c>
      <c r="AJ476" t="e">
        <f>fpl_player_statistics_cleaned[[#This Row],[Total Points]] / fpl_player_statistics_cleaned[[#This Row],[Starts]]</f>
        <v>#DIV/0!</v>
      </c>
      <c r="AK476">
        <f>((fpl_player_statistics_cleaned[[#This Row],[Points Per Game]]) * fpl_player_statistics_cleaned[[#This Row],[Form]]) / fpl_player_statistics_cleaned[[#This Row],[Now Cost]]</f>
        <v>0</v>
      </c>
      <c r="AL476" t="e">
        <f>fpl_player_statistics_cleaned[[#This Row],[Minutes]] / fpl_player_statistics_cleaned[[#This Row],[Total Points]]</f>
        <v>#DIV/0!</v>
      </c>
      <c r="AM47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77" spans="1:39" hidden="1" x14ac:dyDescent="0.2">
      <c r="A477" t="s">
        <v>523</v>
      </c>
      <c r="B477" t="s">
        <v>40</v>
      </c>
      <c r="C477" t="s">
        <v>35</v>
      </c>
      <c r="D477">
        <v>4.4000000000000004</v>
      </c>
      <c r="E477">
        <v>0</v>
      </c>
      <c r="F477">
        <v>0</v>
      </c>
      <c r="G477">
        <v>0.2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 t="s">
        <v>524</v>
      </c>
      <c r="Z477">
        <v>559</v>
      </c>
      <c r="AA477">
        <v>77</v>
      </c>
      <c r="AB477">
        <v>569</v>
      </c>
      <c r="AC477">
        <v>61</v>
      </c>
      <c r="AD477">
        <v>614</v>
      </c>
      <c r="AE477">
        <v>66</v>
      </c>
      <c r="AF477">
        <v>375</v>
      </c>
      <c r="AG477">
        <v>57</v>
      </c>
      <c r="AI477">
        <v>0</v>
      </c>
    </row>
    <row r="478" spans="1:39" x14ac:dyDescent="0.2">
      <c r="A478" t="s">
        <v>970</v>
      </c>
      <c r="B478" t="s">
        <v>54</v>
      </c>
      <c r="C478" t="s">
        <v>38</v>
      </c>
      <c r="D478">
        <v>3.9</v>
      </c>
      <c r="E478">
        <v>0</v>
      </c>
      <c r="F478">
        <v>0</v>
      </c>
      <c r="G478">
        <v>0.4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 t="s">
        <v>1000</v>
      </c>
      <c r="Z478">
        <v>717</v>
      </c>
      <c r="AA478">
        <v>220</v>
      </c>
      <c r="AB478">
        <v>405</v>
      </c>
      <c r="AC478">
        <v>147</v>
      </c>
      <c r="AD478">
        <v>463</v>
      </c>
      <c r="AE478">
        <v>165</v>
      </c>
      <c r="AF478">
        <v>257</v>
      </c>
      <c r="AG478">
        <v>97</v>
      </c>
      <c r="AH478">
        <f>fpl_player_statistics_cleaned[[#This Row],[Total Points]] / fpl_player_statistics_cleaned[[#This Row],[Now Cost]]</f>
        <v>0</v>
      </c>
      <c r="AI478">
        <f>fpl_player_statistics_cleaned[[#This Row],[Goals Scored]] + fpl_player_statistics_cleaned[[#This Row],[Assists]]</f>
        <v>0</v>
      </c>
      <c r="AJ478" t="e">
        <f>fpl_player_statistics_cleaned[[#This Row],[Total Points]] / fpl_player_statistics_cleaned[[#This Row],[Starts]]</f>
        <v>#DIV/0!</v>
      </c>
      <c r="AK478">
        <f>((fpl_player_statistics_cleaned[[#This Row],[Points Per Game]]) * fpl_player_statistics_cleaned[[#This Row],[Form]]) / fpl_player_statistics_cleaned[[#This Row],[Now Cost]]</f>
        <v>0</v>
      </c>
      <c r="AL478" t="e">
        <f>fpl_player_statistics_cleaned[[#This Row],[Minutes]] / fpl_player_statistics_cleaned[[#This Row],[Total Points]]</f>
        <v>#DIV/0!</v>
      </c>
      <c r="AM47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79" spans="1:39" hidden="1" x14ac:dyDescent="0.2">
      <c r="A479" t="s">
        <v>525</v>
      </c>
      <c r="B479" t="s">
        <v>54</v>
      </c>
      <c r="C479" t="s">
        <v>41</v>
      </c>
      <c r="D479">
        <v>4.9000000000000004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 t="s">
        <v>367</v>
      </c>
      <c r="Z479">
        <v>326</v>
      </c>
      <c r="AA479">
        <v>205</v>
      </c>
      <c r="AB479">
        <v>675</v>
      </c>
      <c r="AC479">
        <v>282</v>
      </c>
      <c r="AD479">
        <v>703</v>
      </c>
      <c r="AE479">
        <v>300</v>
      </c>
      <c r="AF479">
        <v>728</v>
      </c>
      <c r="AG479">
        <v>319</v>
      </c>
      <c r="AI479">
        <v>0</v>
      </c>
    </row>
    <row r="480" spans="1:39" hidden="1" x14ac:dyDescent="0.2">
      <c r="A480" t="s">
        <v>971</v>
      </c>
      <c r="B480" t="s">
        <v>54</v>
      </c>
      <c r="C480" t="s">
        <v>41</v>
      </c>
      <c r="D480">
        <v>4.9000000000000004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 t="s">
        <v>526</v>
      </c>
      <c r="Z480">
        <v>346</v>
      </c>
      <c r="AA480">
        <v>220</v>
      </c>
      <c r="AB480">
        <v>679</v>
      </c>
      <c r="AC480">
        <v>285</v>
      </c>
      <c r="AD480">
        <v>706</v>
      </c>
      <c r="AE480">
        <v>302</v>
      </c>
      <c r="AF480">
        <v>664</v>
      </c>
      <c r="AG480">
        <v>280</v>
      </c>
      <c r="AI480">
        <v>0</v>
      </c>
    </row>
    <row r="481" spans="1:39" x14ac:dyDescent="0.2">
      <c r="A481" t="s">
        <v>527</v>
      </c>
      <c r="B481" t="s">
        <v>46</v>
      </c>
      <c r="C481" t="s">
        <v>41</v>
      </c>
      <c r="D481">
        <v>4.9000000000000004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 t="s">
        <v>1000</v>
      </c>
      <c r="Z481">
        <v>345</v>
      </c>
      <c r="AA481">
        <v>219</v>
      </c>
      <c r="AB481">
        <v>678</v>
      </c>
      <c r="AC481">
        <v>284</v>
      </c>
      <c r="AD481">
        <v>705</v>
      </c>
      <c r="AE481">
        <v>301</v>
      </c>
      <c r="AF481">
        <v>701</v>
      </c>
      <c r="AG481">
        <v>303</v>
      </c>
      <c r="AH481">
        <f>fpl_player_statistics_cleaned[[#This Row],[Total Points]] / fpl_player_statistics_cleaned[[#This Row],[Now Cost]]</f>
        <v>0</v>
      </c>
      <c r="AI481">
        <f>fpl_player_statistics_cleaned[[#This Row],[Goals Scored]] + fpl_player_statistics_cleaned[[#This Row],[Assists]]</f>
        <v>0</v>
      </c>
      <c r="AJ481" t="e">
        <f>fpl_player_statistics_cleaned[[#This Row],[Total Points]] / fpl_player_statistics_cleaned[[#This Row],[Starts]]</f>
        <v>#DIV/0!</v>
      </c>
      <c r="AK481">
        <f>((fpl_player_statistics_cleaned[[#This Row],[Points Per Game]]) * fpl_player_statistics_cleaned[[#This Row],[Form]]) / fpl_player_statistics_cleaned[[#This Row],[Now Cost]]</f>
        <v>0</v>
      </c>
      <c r="AL481" t="e">
        <f>fpl_player_statistics_cleaned[[#This Row],[Minutes]] / fpl_player_statistics_cleaned[[#This Row],[Total Points]]</f>
        <v>#DIV/0!</v>
      </c>
      <c r="AM48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82" spans="1:39" x14ac:dyDescent="0.2">
      <c r="A482" t="s">
        <v>528</v>
      </c>
      <c r="B482" t="s">
        <v>46</v>
      </c>
      <c r="C482" t="s">
        <v>41</v>
      </c>
      <c r="D482">
        <v>4.5</v>
      </c>
      <c r="E482">
        <v>0</v>
      </c>
      <c r="F482">
        <v>0</v>
      </c>
      <c r="G482">
        <v>0.1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 t="s">
        <v>1000</v>
      </c>
      <c r="Z482">
        <v>476</v>
      </c>
      <c r="AA482">
        <v>288</v>
      </c>
      <c r="AB482">
        <v>633</v>
      </c>
      <c r="AC482">
        <v>256</v>
      </c>
      <c r="AD482">
        <v>676</v>
      </c>
      <c r="AE482">
        <v>282</v>
      </c>
      <c r="AF482">
        <v>459</v>
      </c>
      <c r="AG482">
        <v>156</v>
      </c>
      <c r="AH482">
        <f>fpl_player_statistics_cleaned[[#This Row],[Total Points]] / fpl_player_statistics_cleaned[[#This Row],[Now Cost]]</f>
        <v>0</v>
      </c>
      <c r="AI482">
        <f>fpl_player_statistics_cleaned[[#This Row],[Goals Scored]] + fpl_player_statistics_cleaned[[#This Row],[Assists]]</f>
        <v>0</v>
      </c>
      <c r="AJ482" t="e">
        <f>fpl_player_statistics_cleaned[[#This Row],[Total Points]] / fpl_player_statistics_cleaned[[#This Row],[Starts]]</f>
        <v>#DIV/0!</v>
      </c>
      <c r="AK482">
        <f>((fpl_player_statistics_cleaned[[#This Row],[Points Per Game]]) * fpl_player_statistics_cleaned[[#This Row],[Form]]) / fpl_player_statistics_cleaned[[#This Row],[Now Cost]]</f>
        <v>0</v>
      </c>
      <c r="AL482" t="e">
        <f>fpl_player_statistics_cleaned[[#This Row],[Minutes]] / fpl_player_statistics_cleaned[[#This Row],[Total Points]]</f>
        <v>#DIV/0!</v>
      </c>
      <c r="AM48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83" spans="1:39" x14ac:dyDescent="0.2">
      <c r="A483" t="s">
        <v>529</v>
      </c>
      <c r="B483" t="s">
        <v>46</v>
      </c>
      <c r="C483" t="s">
        <v>41</v>
      </c>
      <c r="D483">
        <v>4.4000000000000004</v>
      </c>
      <c r="E483">
        <v>0</v>
      </c>
      <c r="F483">
        <v>0</v>
      </c>
      <c r="G483">
        <v>0.2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 t="s">
        <v>1000</v>
      </c>
      <c r="Z483">
        <v>566</v>
      </c>
      <c r="AA483">
        <v>327</v>
      </c>
      <c r="AB483">
        <v>576</v>
      </c>
      <c r="AC483">
        <v>214</v>
      </c>
      <c r="AD483">
        <v>621</v>
      </c>
      <c r="AE483">
        <v>241</v>
      </c>
      <c r="AF483">
        <v>373</v>
      </c>
      <c r="AG483">
        <v>128</v>
      </c>
      <c r="AH483">
        <f>fpl_player_statistics_cleaned[[#This Row],[Total Points]] / fpl_player_statistics_cleaned[[#This Row],[Now Cost]]</f>
        <v>0</v>
      </c>
      <c r="AI483">
        <f>fpl_player_statistics_cleaned[[#This Row],[Goals Scored]] + fpl_player_statistics_cleaned[[#This Row],[Assists]]</f>
        <v>0</v>
      </c>
      <c r="AJ483" t="e">
        <f>fpl_player_statistics_cleaned[[#This Row],[Total Points]] / fpl_player_statistics_cleaned[[#This Row],[Starts]]</f>
        <v>#DIV/0!</v>
      </c>
      <c r="AK483">
        <f>((fpl_player_statistics_cleaned[[#This Row],[Points Per Game]]) * fpl_player_statistics_cleaned[[#This Row],[Form]]) / fpl_player_statistics_cleaned[[#This Row],[Now Cost]]</f>
        <v>0</v>
      </c>
      <c r="AL483" t="e">
        <f>fpl_player_statistics_cleaned[[#This Row],[Minutes]] / fpl_player_statistics_cleaned[[#This Row],[Total Points]]</f>
        <v>#DIV/0!</v>
      </c>
      <c r="AM48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84" spans="1:39" x14ac:dyDescent="0.2">
      <c r="A484" t="s">
        <v>530</v>
      </c>
      <c r="B484" t="s">
        <v>46</v>
      </c>
      <c r="C484" t="s">
        <v>41</v>
      </c>
      <c r="D484">
        <v>4.5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 t="s">
        <v>1000</v>
      </c>
      <c r="Z484">
        <v>408</v>
      </c>
      <c r="AA484">
        <v>246</v>
      </c>
      <c r="AB484">
        <v>585</v>
      </c>
      <c r="AC484">
        <v>218</v>
      </c>
      <c r="AD484">
        <v>629</v>
      </c>
      <c r="AE484">
        <v>245</v>
      </c>
      <c r="AF484">
        <v>673</v>
      </c>
      <c r="AG484">
        <v>286</v>
      </c>
      <c r="AH484">
        <f>fpl_player_statistics_cleaned[[#This Row],[Total Points]] / fpl_player_statistics_cleaned[[#This Row],[Now Cost]]</f>
        <v>0</v>
      </c>
      <c r="AI484">
        <f>fpl_player_statistics_cleaned[[#This Row],[Goals Scored]] + fpl_player_statistics_cleaned[[#This Row],[Assists]]</f>
        <v>0</v>
      </c>
      <c r="AJ484" t="e">
        <f>fpl_player_statistics_cleaned[[#This Row],[Total Points]] / fpl_player_statistics_cleaned[[#This Row],[Starts]]</f>
        <v>#DIV/0!</v>
      </c>
      <c r="AK484">
        <f>((fpl_player_statistics_cleaned[[#This Row],[Points Per Game]]) * fpl_player_statistics_cleaned[[#This Row],[Form]]) / fpl_player_statistics_cleaned[[#This Row],[Now Cost]]</f>
        <v>0</v>
      </c>
      <c r="AL484" t="e">
        <f>fpl_player_statistics_cleaned[[#This Row],[Minutes]] / fpl_player_statistics_cleaned[[#This Row],[Total Points]]</f>
        <v>#DIV/0!</v>
      </c>
      <c r="AM48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85" spans="1:39" x14ac:dyDescent="0.2">
      <c r="A485" t="s">
        <v>531</v>
      </c>
      <c r="B485" t="s">
        <v>46</v>
      </c>
      <c r="C485" t="s">
        <v>41</v>
      </c>
      <c r="D485">
        <v>4.4000000000000004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 t="s">
        <v>1000</v>
      </c>
      <c r="Z485">
        <v>520</v>
      </c>
      <c r="AA485">
        <v>301</v>
      </c>
      <c r="AB485">
        <v>541</v>
      </c>
      <c r="AC485">
        <v>190</v>
      </c>
      <c r="AD485">
        <v>588</v>
      </c>
      <c r="AE485">
        <v>217</v>
      </c>
      <c r="AF485">
        <v>596</v>
      </c>
      <c r="AG485">
        <v>233</v>
      </c>
      <c r="AH485">
        <f>fpl_player_statistics_cleaned[[#This Row],[Total Points]] / fpl_player_statistics_cleaned[[#This Row],[Now Cost]]</f>
        <v>0</v>
      </c>
      <c r="AI485">
        <f>fpl_player_statistics_cleaned[[#This Row],[Goals Scored]] + fpl_player_statistics_cleaned[[#This Row],[Assists]]</f>
        <v>0</v>
      </c>
      <c r="AJ485" t="e">
        <f>fpl_player_statistics_cleaned[[#This Row],[Total Points]] / fpl_player_statistics_cleaned[[#This Row],[Starts]]</f>
        <v>#DIV/0!</v>
      </c>
      <c r="AK485">
        <f>((fpl_player_statistics_cleaned[[#This Row],[Points Per Game]]) * fpl_player_statistics_cleaned[[#This Row],[Form]]) / fpl_player_statistics_cleaned[[#This Row],[Now Cost]]</f>
        <v>0</v>
      </c>
      <c r="AL485" t="e">
        <f>fpl_player_statistics_cleaned[[#This Row],[Minutes]] / fpl_player_statistics_cleaned[[#This Row],[Total Points]]</f>
        <v>#DIV/0!</v>
      </c>
      <c r="AM48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86" spans="1:39" x14ac:dyDescent="0.2">
      <c r="A486" t="s">
        <v>532</v>
      </c>
      <c r="B486" t="s">
        <v>54</v>
      </c>
      <c r="C486" t="s">
        <v>38</v>
      </c>
      <c r="D486">
        <v>4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 t="s">
        <v>1000</v>
      </c>
      <c r="Z486">
        <v>630</v>
      </c>
      <c r="AA486">
        <v>163</v>
      </c>
      <c r="AB486">
        <v>447</v>
      </c>
      <c r="AC486">
        <v>173</v>
      </c>
      <c r="AD486">
        <v>504</v>
      </c>
      <c r="AE486">
        <v>190</v>
      </c>
      <c r="AF486">
        <v>572</v>
      </c>
      <c r="AG486">
        <v>207</v>
      </c>
      <c r="AH486">
        <f>fpl_player_statistics_cleaned[[#This Row],[Total Points]] / fpl_player_statistics_cleaned[[#This Row],[Now Cost]]</f>
        <v>0</v>
      </c>
      <c r="AI486">
        <f>fpl_player_statistics_cleaned[[#This Row],[Goals Scored]] + fpl_player_statistics_cleaned[[#This Row],[Assists]]</f>
        <v>0</v>
      </c>
      <c r="AJ486" t="e">
        <f>fpl_player_statistics_cleaned[[#This Row],[Total Points]] / fpl_player_statistics_cleaned[[#This Row],[Starts]]</f>
        <v>#DIV/0!</v>
      </c>
      <c r="AK486">
        <f>((fpl_player_statistics_cleaned[[#This Row],[Points Per Game]]) * fpl_player_statistics_cleaned[[#This Row],[Form]]) / fpl_player_statistics_cleaned[[#This Row],[Now Cost]]</f>
        <v>0</v>
      </c>
      <c r="AL486" t="e">
        <f>fpl_player_statistics_cleaned[[#This Row],[Minutes]] / fpl_player_statistics_cleaned[[#This Row],[Total Points]]</f>
        <v>#DIV/0!</v>
      </c>
      <c r="AM48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87" spans="1:39" x14ac:dyDescent="0.2">
      <c r="A487" t="s">
        <v>533</v>
      </c>
      <c r="B487" t="s">
        <v>54</v>
      </c>
      <c r="C487" t="s">
        <v>41</v>
      </c>
      <c r="D487">
        <v>4.8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 t="s">
        <v>1000</v>
      </c>
      <c r="Z487">
        <v>358</v>
      </c>
      <c r="AA487">
        <v>227</v>
      </c>
      <c r="AB487">
        <v>650</v>
      </c>
      <c r="AC487">
        <v>268</v>
      </c>
      <c r="AD487">
        <v>685</v>
      </c>
      <c r="AE487">
        <v>289</v>
      </c>
      <c r="AF487">
        <v>647</v>
      </c>
      <c r="AG487">
        <v>268</v>
      </c>
      <c r="AH487">
        <f>fpl_player_statistics_cleaned[[#This Row],[Total Points]] / fpl_player_statistics_cleaned[[#This Row],[Now Cost]]</f>
        <v>0</v>
      </c>
      <c r="AI487">
        <f>fpl_player_statistics_cleaned[[#This Row],[Goals Scored]] + fpl_player_statistics_cleaned[[#This Row],[Assists]]</f>
        <v>0</v>
      </c>
      <c r="AJ487" t="e">
        <f>fpl_player_statistics_cleaned[[#This Row],[Total Points]] / fpl_player_statistics_cleaned[[#This Row],[Starts]]</f>
        <v>#DIV/0!</v>
      </c>
      <c r="AK487">
        <f>((fpl_player_statistics_cleaned[[#This Row],[Points Per Game]]) * fpl_player_statistics_cleaned[[#This Row],[Form]]) / fpl_player_statistics_cleaned[[#This Row],[Now Cost]]</f>
        <v>0</v>
      </c>
      <c r="AL487" t="e">
        <f>fpl_player_statistics_cleaned[[#This Row],[Minutes]] / fpl_player_statistics_cleaned[[#This Row],[Total Points]]</f>
        <v>#DIV/0!</v>
      </c>
      <c r="AM48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88" spans="1:39" x14ac:dyDescent="0.2">
      <c r="A488" t="s">
        <v>534</v>
      </c>
      <c r="B488" t="s">
        <v>54</v>
      </c>
      <c r="C488" t="s">
        <v>38</v>
      </c>
      <c r="D488">
        <v>3.9</v>
      </c>
      <c r="E488">
        <v>0</v>
      </c>
      <c r="F488">
        <v>0</v>
      </c>
      <c r="G488">
        <v>0.3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 t="s">
        <v>1000</v>
      </c>
      <c r="Z488">
        <v>728</v>
      </c>
      <c r="AA488">
        <v>226</v>
      </c>
      <c r="AB488">
        <v>416</v>
      </c>
      <c r="AC488">
        <v>153</v>
      </c>
      <c r="AD488">
        <v>474</v>
      </c>
      <c r="AE488">
        <v>171</v>
      </c>
      <c r="AF488">
        <v>329</v>
      </c>
      <c r="AG488">
        <v>115</v>
      </c>
      <c r="AH488">
        <f>fpl_player_statistics_cleaned[[#This Row],[Total Points]] / fpl_player_statistics_cleaned[[#This Row],[Now Cost]]</f>
        <v>0</v>
      </c>
      <c r="AI488">
        <f>fpl_player_statistics_cleaned[[#This Row],[Goals Scored]] + fpl_player_statistics_cleaned[[#This Row],[Assists]]</f>
        <v>0</v>
      </c>
      <c r="AJ488" t="e">
        <f>fpl_player_statistics_cleaned[[#This Row],[Total Points]] / fpl_player_statistics_cleaned[[#This Row],[Starts]]</f>
        <v>#DIV/0!</v>
      </c>
      <c r="AK488">
        <f>((fpl_player_statistics_cleaned[[#This Row],[Points Per Game]]) * fpl_player_statistics_cleaned[[#This Row],[Form]]) / fpl_player_statistics_cleaned[[#This Row],[Now Cost]]</f>
        <v>0</v>
      </c>
      <c r="AL488" t="e">
        <f>fpl_player_statistics_cleaned[[#This Row],[Minutes]] / fpl_player_statistics_cleaned[[#This Row],[Total Points]]</f>
        <v>#DIV/0!</v>
      </c>
      <c r="AM48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89" spans="1:39" hidden="1" x14ac:dyDescent="0.2">
      <c r="A489" t="s">
        <v>535</v>
      </c>
      <c r="B489" t="s">
        <v>54</v>
      </c>
      <c r="C489" t="s">
        <v>38</v>
      </c>
      <c r="D489">
        <v>4</v>
      </c>
      <c r="E489">
        <v>0</v>
      </c>
      <c r="F489">
        <v>0</v>
      </c>
      <c r="G489">
        <v>0.1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 t="s">
        <v>536</v>
      </c>
      <c r="Z489">
        <v>663</v>
      </c>
      <c r="AA489">
        <v>181</v>
      </c>
      <c r="AB489">
        <v>473</v>
      </c>
      <c r="AC489">
        <v>184</v>
      </c>
      <c r="AD489">
        <v>530</v>
      </c>
      <c r="AE489">
        <v>201</v>
      </c>
      <c r="AF489">
        <v>488</v>
      </c>
      <c r="AG489">
        <v>177</v>
      </c>
      <c r="AI489">
        <v>0</v>
      </c>
    </row>
    <row r="490" spans="1:39" hidden="1" x14ac:dyDescent="0.2">
      <c r="A490" t="s">
        <v>537</v>
      </c>
      <c r="B490" t="s">
        <v>54</v>
      </c>
      <c r="C490" t="s">
        <v>38</v>
      </c>
      <c r="D490">
        <v>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 t="s">
        <v>538</v>
      </c>
      <c r="Z490">
        <v>658</v>
      </c>
      <c r="AA490">
        <v>178</v>
      </c>
      <c r="AB490">
        <v>470</v>
      </c>
      <c r="AC490">
        <v>183</v>
      </c>
      <c r="AD490">
        <v>527</v>
      </c>
      <c r="AE490">
        <v>200</v>
      </c>
      <c r="AF490">
        <v>727</v>
      </c>
      <c r="AG490">
        <v>245</v>
      </c>
      <c r="AI490">
        <v>0</v>
      </c>
    </row>
    <row r="491" spans="1:39" hidden="1" x14ac:dyDescent="0.2">
      <c r="A491" t="s">
        <v>539</v>
      </c>
      <c r="B491" t="s">
        <v>54</v>
      </c>
      <c r="C491" t="s">
        <v>38</v>
      </c>
      <c r="D491">
        <v>4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 t="s">
        <v>540</v>
      </c>
      <c r="Z491">
        <v>649</v>
      </c>
      <c r="AA491">
        <v>174</v>
      </c>
      <c r="AB491">
        <v>463</v>
      </c>
      <c r="AC491">
        <v>181</v>
      </c>
      <c r="AD491">
        <v>520</v>
      </c>
      <c r="AE491">
        <v>198</v>
      </c>
      <c r="AF491">
        <v>688</v>
      </c>
      <c r="AG491">
        <v>234</v>
      </c>
      <c r="AI491">
        <v>0</v>
      </c>
    </row>
    <row r="492" spans="1:39" x14ac:dyDescent="0.2">
      <c r="A492" t="s">
        <v>541</v>
      </c>
      <c r="B492" t="s">
        <v>54</v>
      </c>
      <c r="C492" t="s">
        <v>38</v>
      </c>
      <c r="D492">
        <v>3.9</v>
      </c>
      <c r="E492">
        <v>0</v>
      </c>
      <c r="F492">
        <v>0</v>
      </c>
      <c r="G492">
        <v>0.4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 t="s">
        <v>1000</v>
      </c>
      <c r="Z492">
        <v>708</v>
      </c>
      <c r="AA492">
        <v>213</v>
      </c>
      <c r="AB492">
        <v>398</v>
      </c>
      <c r="AC492">
        <v>142</v>
      </c>
      <c r="AD492">
        <v>456</v>
      </c>
      <c r="AE492">
        <v>160</v>
      </c>
      <c r="AF492">
        <v>252</v>
      </c>
      <c r="AG492">
        <v>93</v>
      </c>
      <c r="AH492">
        <f>fpl_player_statistics_cleaned[[#This Row],[Total Points]] / fpl_player_statistics_cleaned[[#This Row],[Now Cost]]</f>
        <v>0</v>
      </c>
      <c r="AI492">
        <f>fpl_player_statistics_cleaned[[#This Row],[Goals Scored]] + fpl_player_statistics_cleaned[[#This Row],[Assists]]</f>
        <v>0</v>
      </c>
      <c r="AJ492" t="e">
        <f>fpl_player_statistics_cleaned[[#This Row],[Total Points]] / fpl_player_statistics_cleaned[[#This Row],[Starts]]</f>
        <v>#DIV/0!</v>
      </c>
      <c r="AK492">
        <f>((fpl_player_statistics_cleaned[[#This Row],[Points Per Game]]) * fpl_player_statistics_cleaned[[#This Row],[Form]]) / fpl_player_statistics_cleaned[[#This Row],[Now Cost]]</f>
        <v>0</v>
      </c>
      <c r="AL492" t="e">
        <f>fpl_player_statistics_cleaned[[#This Row],[Minutes]] / fpl_player_statistics_cleaned[[#This Row],[Total Points]]</f>
        <v>#DIV/0!</v>
      </c>
      <c r="AM49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93" spans="1:39" hidden="1" x14ac:dyDescent="0.2">
      <c r="A493" t="s">
        <v>542</v>
      </c>
      <c r="B493" t="s">
        <v>54</v>
      </c>
      <c r="C493" t="s">
        <v>38</v>
      </c>
      <c r="D493">
        <v>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 t="s">
        <v>543</v>
      </c>
      <c r="Z493">
        <v>635</v>
      </c>
      <c r="AA493">
        <v>166</v>
      </c>
      <c r="AB493">
        <v>451</v>
      </c>
      <c r="AC493">
        <v>175</v>
      </c>
      <c r="AD493">
        <v>508</v>
      </c>
      <c r="AE493">
        <v>192</v>
      </c>
      <c r="AF493">
        <v>730</v>
      </c>
      <c r="AG493">
        <v>246</v>
      </c>
      <c r="AI493">
        <v>0</v>
      </c>
    </row>
    <row r="494" spans="1:39" hidden="1" x14ac:dyDescent="0.2">
      <c r="A494" t="s">
        <v>544</v>
      </c>
      <c r="B494" t="s">
        <v>46</v>
      </c>
      <c r="C494" t="s">
        <v>41</v>
      </c>
      <c r="D494">
        <v>4.5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 t="s">
        <v>545</v>
      </c>
      <c r="Z494">
        <v>473</v>
      </c>
      <c r="AA494">
        <v>286</v>
      </c>
      <c r="AB494">
        <v>630</v>
      </c>
      <c r="AC494">
        <v>254</v>
      </c>
      <c r="AD494">
        <v>673</v>
      </c>
      <c r="AE494">
        <v>280</v>
      </c>
      <c r="AF494">
        <v>726</v>
      </c>
      <c r="AG494">
        <v>318</v>
      </c>
      <c r="AI494">
        <v>0</v>
      </c>
    </row>
    <row r="495" spans="1:39" hidden="1" x14ac:dyDescent="0.2">
      <c r="A495" t="s">
        <v>546</v>
      </c>
      <c r="B495" t="s">
        <v>46</v>
      </c>
      <c r="C495" t="s">
        <v>38</v>
      </c>
      <c r="D495">
        <v>4</v>
      </c>
      <c r="E495">
        <v>0</v>
      </c>
      <c r="F495">
        <v>0</v>
      </c>
      <c r="G495">
        <v>0.1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 t="s">
        <v>486</v>
      </c>
      <c r="Z495">
        <v>668</v>
      </c>
      <c r="AA495">
        <v>185</v>
      </c>
      <c r="AB495">
        <v>477</v>
      </c>
      <c r="AC495">
        <v>187</v>
      </c>
      <c r="AD495">
        <v>534</v>
      </c>
      <c r="AE495">
        <v>204</v>
      </c>
      <c r="AF495">
        <v>565</v>
      </c>
      <c r="AG495">
        <v>204</v>
      </c>
      <c r="AI495">
        <v>0</v>
      </c>
    </row>
    <row r="496" spans="1:39" hidden="1" x14ac:dyDescent="0.2">
      <c r="A496" t="s">
        <v>547</v>
      </c>
      <c r="B496" t="s">
        <v>46</v>
      </c>
      <c r="C496" t="s">
        <v>38</v>
      </c>
      <c r="D496">
        <v>3.9</v>
      </c>
      <c r="E496">
        <v>0</v>
      </c>
      <c r="F496">
        <v>0</v>
      </c>
      <c r="G496">
        <v>0.1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 t="s">
        <v>548</v>
      </c>
      <c r="Z496">
        <v>740</v>
      </c>
      <c r="AA496">
        <v>238</v>
      </c>
      <c r="AB496">
        <v>427</v>
      </c>
      <c r="AC496">
        <v>164</v>
      </c>
      <c r="AD496">
        <v>484</v>
      </c>
      <c r="AE496">
        <v>181</v>
      </c>
      <c r="AF496">
        <v>461</v>
      </c>
      <c r="AG496">
        <v>169</v>
      </c>
      <c r="AI496">
        <v>0</v>
      </c>
    </row>
    <row r="497" spans="1:39" x14ac:dyDescent="0.2">
      <c r="A497" t="s">
        <v>549</v>
      </c>
      <c r="B497" t="s">
        <v>40</v>
      </c>
      <c r="C497" t="s">
        <v>41</v>
      </c>
      <c r="D497">
        <v>4.4000000000000004</v>
      </c>
      <c r="E497">
        <v>0</v>
      </c>
      <c r="F497">
        <v>0</v>
      </c>
      <c r="G497">
        <v>0.1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 t="s">
        <v>1000</v>
      </c>
      <c r="Z497">
        <v>563</v>
      </c>
      <c r="AA497">
        <v>324</v>
      </c>
      <c r="AB497">
        <v>573</v>
      </c>
      <c r="AC497">
        <v>211</v>
      </c>
      <c r="AD497">
        <v>618</v>
      </c>
      <c r="AE497">
        <v>238</v>
      </c>
      <c r="AF497">
        <v>418</v>
      </c>
      <c r="AG497">
        <v>141</v>
      </c>
      <c r="AH497">
        <f>fpl_player_statistics_cleaned[[#This Row],[Total Points]] / fpl_player_statistics_cleaned[[#This Row],[Now Cost]]</f>
        <v>0</v>
      </c>
      <c r="AI497">
        <f>fpl_player_statistics_cleaned[[#This Row],[Goals Scored]] + fpl_player_statistics_cleaned[[#This Row],[Assists]]</f>
        <v>0</v>
      </c>
      <c r="AJ497" t="e">
        <f>fpl_player_statistics_cleaned[[#This Row],[Total Points]] / fpl_player_statistics_cleaned[[#This Row],[Starts]]</f>
        <v>#DIV/0!</v>
      </c>
      <c r="AK497">
        <f>((fpl_player_statistics_cleaned[[#This Row],[Points Per Game]]) * fpl_player_statistics_cleaned[[#This Row],[Form]]) / fpl_player_statistics_cleaned[[#This Row],[Now Cost]]</f>
        <v>0</v>
      </c>
      <c r="AL497" t="e">
        <f>fpl_player_statistics_cleaned[[#This Row],[Minutes]] / fpl_player_statistics_cleaned[[#This Row],[Total Points]]</f>
        <v>#DIV/0!</v>
      </c>
      <c r="AM49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98" spans="1:39" x14ac:dyDescent="0.2">
      <c r="A498" t="s">
        <v>550</v>
      </c>
      <c r="B498" t="s">
        <v>46</v>
      </c>
      <c r="C498" t="s">
        <v>38</v>
      </c>
      <c r="D498">
        <v>4.3</v>
      </c>
      <c r="E498">
        <v>0</v>
      </c>
      <c r="F498">
        <v>0</v>
      </c>
      <c r="G498">
        <v>0.1</v>
      </c>
      <c r="H498">
        <v>0</v>
      </c>
      <c r="I498">
        <v>0</v>
      </c>
      <c r="J498">
        <v>155</v>
      </c>
      <c r="K498">
        <v>0</v>
      </c>
      <c r="L498">
        <v>4</v>
      </c>
      <c r="M498">
        <v>0</v>
      </c>
      <c r="N498">
        <v>0</v>
      </c>
      <c r="O498">
        <v>4.3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0.04</v>
      </c>
      <c r="V498">
        <v>0.04</v>
      </c>
      <c r="W498">
        <v>2.11</v>
      </c>
      <c r="X498">
        <v>2</v>
      </c>
      <c r="Y498" t="s">
        <v>1000</v>
      </c>
      <c r="Z498">
        <v>585</v>
      </c>
      <c r="AA498">
        <v>144</v>
      </c>
      <c r="AB498">
        <v>516</v>
      </c>
      <c r="AC498">
        <v>214</v>
      </c>
      <c r="AD498">
        <v>566</v>
      </c>
      <c r="AE498">
        <v>226</v>
      </c>
      <c r="AF498">
        <v>446</v>
      </c>
      <c r="AG498">
        <v>161</v>
      </c>
      <c r="AH498">
        <f>fpl_player_statistics_cleaned[[#This Row],[Total Points]] / fpl_player_statistics_cleaned[[#This Row],[Now Cost]]</f>
        <v>0</v>
      </c>
      <c r="AI498">
        <f>fpl_player_statistics_cleaned[[#This Row],[Goals Scored]] + fpl_player_statistics_cleaned[[#This Row],[Assists]]</f>
        <v>0</v>
      </c>
      <c r="AJ498">
        <f>fpl_player_statistics_cleaned[[#This Row],[Total Points]] / fpl_player_statistics_cleaned[[#This Row],[Starts]]</f>
        <v>0</v>
      </c>
      <c r="AK498">
        <f>((fpl_player_statistics_cleaned[[#This Row],[Points Per Game]]) * fpl_player_statistics_cleaned[[#This Row],[Form]]) / fpl_player_statistics_cleaned[[#This Row],[Now Cost]]</f>
        <v>0</v>
      </c>
      <c r="AL498" t="e">
        <f>fpl_player_statistics_cleaned[[#This Row],[Minutes]] / fpl_player_statistics_cleaned[[#This Row],[Total Points]]</f>
        <v>#DIV/0!</v>
      </c>
      <c r="AM49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499" spans="1:39" x14ac:dyDescent="0.2">
      <c r="A499" t="s">
        <v>551</v>
      </c>
      <c r="B499" t="s">
        <v>46</v>
      </c>
      <c r="C499" t="s">
        <v>55</v>
      </c>
      <c r="D499">
        <v>4</v>
      </c>
      <c r="E499">
        <v>0</v>
      </c>
      <c r="F499">
        <v>0</v>
      </c>
      <c r="G499">
        <v>0.3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 t="s">
        <v>1000</v>
      </c>
      <c r="Z499">
        <v>639</v>
      </c>
      <c r="AA499">
        <v>55</v>
      </c>
      <c r="AB499">
        <v>455</v>
      </c>
      <c r="AC499">
        <v>49</v>
      </c>
      <c r="AD499">
        <v>512</v>
      </c>
      <c r="AE499">
        <v>56</v>
      </c>
      <c r="AF499">
        <v>316</v>
      </c>
      <c r="AG499">
        <v>44</v>
      </c>
      <c r="AH499">
        <f>fpl_player_statistics_cleaned[[#This Row],[Total Points]] / fpl_player_statistics_cleaned[[#This Row],[Now Cost]]</f>
        <v>0</v>
      </c>
      <c r="AI499">
        <f>fpl_player_statistics_cleaned[[#This Row],[Goals Scored]] + fpl_player_statistics_cleaned[[#This Row],[Assists]]</f>
        <v>0</v>
      </c>
      <c r="AJ499" t="e">
        <f>fpl_player_statistics_cleaned[[#This Row],[Total Points]] / fpl_player_statistics_cleaned[[#This Row],[Starts]]</f>
        <v>#DIV/0!</v>
      </c>
      <c r="AK499">
        <f>((fpl_player_statistics_cleaned[[#This Row],[Points Per Game]]) * fpl_player_statistics_cleaned[[#This Row],[Form]]) / fpl_player_statistics_cleaned[[#This Row],[Now Cost]]</f>
        <v>0</v>
      </c>
      <c r="AL499" t="e">
        <f>fpl_player_statistics_cleaned[[#This Row],[Minutes]] / fpl_player_statistics_cleaned[[#This Row],[Total Points]]</f>
        <v>#DIV/0!</v>
      </c>
      <c r="AM49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00" spans="1:39" x14ac:dyDescent="0.2">
      <c r="A500" t="s">
        <v>552</v>
      </c>
      <c r="B500" t="s">
        <v>51</v>
      </c>
      <c r="C500" t="s">
        <v>41</v>
      </c>
      <c r="D500">
        <v>4.4000000000000004</v>
      </c>
      <c r="E500">
        <v>0</v>
      </c>
      <c r="F500">
        <v>0</v>
      </c>
      <c r="G500">
        <v>0.2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 t="s">
        <v>1000</v>
      </c>
      <c r="Z500">
        <v>534</v>
      </c>
      <c r="AA500">
        <v>308</v>
      </c>
      <c r="AB500">
        <v>548</v>
      </c>
      <c r="AC500">
        <v>196</v>
      </c>
      <c r="AD500">
        <v>594</v>
      </c>
      <c r="AE500">
        <v>223</v>
      </c>
      <c r="AF500">
        <v>362</v>
      </c>
      <c r="AG500">
        <v>124</v>
      </c>
      <c r="AH500">
        <f>fpl_player_statistics_cleaned[[#This Row],[Total Points]] / fpl_player_statistics_cleaned[[#This Row],[Now Cost]]</f>
        <v>0</v>
      </c>
      <c r="AI500">
        <f>fpl_player_statistics_cleaned[[#This Row],[Goals Scored]] + fpl_player_statistics_cleaned[[#This Row],[Assists]]</f>
        <v>0</v>
      </c>
      <c r="AJ500" t="e">
        <f>fpl_player_statistics_cleaned[[#This Row],[Total Points]] / fpl_player_statistics_cleaned[[#This Row],[Starts]]</f>
        <v>#DIV/0!</v>
      </c>
      <c r="AK500">
        <f>((fpl_player_statistics_cleaned[[#This Row],[Points Per Game]]) * fpl_player_statistics_cleaned[[#This Row],[Form]]) / fpl_player_statistics_cleaned[[#This Row],[Now Cost]]</f>
        <v>0</v>
      </c>
      <c r="AL500" t="e">
        <f>fpl_player_statistics_cleaned[[#This Row],[Minutes]] / fpl_player_statistics_cleaned[[#This Row],[Total Points]]</f>
        <v>#DIV/0!</v>
      </c>
      <c r="AM50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01" spans="1:39" x14ac:dyDescent="0.2">
      <c r="A501" t="s">
        <v>553</v>
      </c>
      <c r="B501" t="s">
        <v>46</v>
      </c>
      <c r="C501" t="s">
        <v>55</v>
      </c>
      <c r="D501">
        <v>4</v>
      </c>
      <c r="E501">
        <v>0</v>
      </c>
      <c r="F501">
        <v>0</v>
      </c>
      <c r="G501">
        <v>0.1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 t="s">
        <v>1000</v>
      </c>
      <c r="Z501">
        <v>674</v>
      </c>
      <c r="AA501">
        <v>68</v>
      </c>
      <c r="AB501">
        <v>482</v>
      </c>
      <c r="AC501">
        <v>62</v>
      </c>
      <c r="AD501">
        <v>538</v>
      </c>
      <c r="AE501">
        <v>69</v>
      </c>
      <c r="AF501">
        <v>520</v>
      </c>
      <c r="AG501">
        <v>78</v>
      </c>
      <c r="AH501">
        <f>fpl_player_statistics_cleaned[[#This Row],[Total Points]] / fpl_player_statistics_cleaned[[#This Row],[Now Cost]]</f>
        <v>0</v>
      </c>
      <c r="AI501">
        <f>fpl_player_statistics_cleaned[[#This Row],[Goals Scored]] + fpl_player_statistics_cleaned[[#This Row],[Assists]]</f>
        <v>0</v>
      </c>
      <c r="AJ501" t="e">
        <f>fpl_player_statistics_cleaned[[#This Row],[Total Points]] / fpl_player_statistics_cleaned[[#This Row],[Starts]]</f>
        <v>#DIV/0!</v>
      </c>
      <c r="AK501">
        <f>((fpl_player_statistics_cleaned[[#This Row],[Points Per Game]]) * fpl_player_statistics_cleaned[[#This Row],[Form]]) / fpl_player_statistics_cleaned[[#This Row],[Now Cost]]</f>
        <v>0</v>
      </c>
      <c r="AL501" t="e">
        <f>fpl_player_statistics_cleaned[[#This Row],[Minutes]] / fpl_player_statistics_cleaned[[#This Row],[Total Points]]</f>
        <v>#DIV/0!</v>
      </c>
      <c r="AM50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02" spans="1:39" x14ac:dyDescent="0.2">
      <c r="A502" t="s">
        <v>972</v>
      </c>
      <c r="B502" t="s">
        <v>46</v>
      </c>
      <c r="C502" t="s">
        <v>55</v>
      </c>
      <c r="D502">
        <v>3.9</v>
      </c>
      <c r="E502">
        <v>0</v>
      </c>
      <c r="F502">
        <v>0</v>
      </c>
      <c r="G502">
        <v>0.7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 t="s">
        <v>1000</v>
      </c>
      <c r="Z502">
        <v>726</v>
      </c>
      <c r="AA502">
        <v>85</v>
      </c>
      <c r="AB502">
        <v>414</v>
      </c>
      <c r="AC502">
        <v>33</v>
      </c>
      <c r="AD502">
        <v>472</v>
      </c>
      <c r="AE502">
        <v>40</v>
      </c>
      <c r="AF502">
        <v>199</v>
      </c>
      <c r="AG502">
        <v>28</v>
      </c>
      <c r="AH502">
        <f>fpl_player_statistics_cleaned[[#This Row],[Total Points]] / fpl_player_statistics_cleaned[[#This Row],[Now Cost]]</f>
        <v>0</v>
      </c>
      <c r="AI502">
        <f>fpl_player_statistics_cleaned[[#This Row],[Goals Scored]] + fpl_player_statistics_cleaned[[#This Row],[Assists]]</f>
        <v>0</v>
      </c>
      <c r="AJ502" t="e">
        <f>fpl_player_statistics_cleaned[[#This Row],[Total Points]] / fpl_player_statistics_cleaned[[#This Row],[Starts]]</f>
        <v>#DIV/0!</v>
      </c>
      <c r="AK502">
        <f>((fpl_player_statistics_cleaned[[#This Row],[Points Per Game]]) * fpl_player_statistics_cleaned[[#This Row],[Form]]) / fpl_player_statistics_cleaned[[#This Row],[Now Cost]]</f>
        <v>0</v>
      </c>
      <c r="AL502" t="e">
        <f>fpl_player_statistics_cleaned[[#This Row],[Minutes]] / fpl_player_statistics_cleaned[[#This Row],[Total Points]]</f>
        <v>#DIV/0!</v>
      </c>
      <c r="AM50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03" spans="1:39" hidden="1" x14ac:dyDescent="0.2">
      <c r="A503" t="s">
        <v>554</v>
      </c>
      <c r="B503" t="s">
        <v>54</v>
      </c>
      <c r="C503" t="s">
        <v>35</v>
      </c>
      <c r="D503">
        <v>4.4000000000000004</v>
      </c>
      <c r="E503">
        <v>0</v>
      </c>
      <c r="F503">
        <v>0</v>
      </c>
      <c r="G503">
        <v>0.1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 t="s">
        <v>555</v>
      </c>
      <c r="Z503">
        <v>517</v>
      </c>
      <c r="AA503">
        <v>69</v>
      </c>
      <c r="AB503">
        <v>539</v>
      </c>
      <c r="AC503">
        <v>54</v>
      </c>
      <c r="AD503">
        <v>586</v>
      </c>
      <c r="AE503">
        <v>59</v>
      </c>
      <c r="AF503">
        <v>465</v>
      </c>
      <c r="AG503">
        <v>65</v>
      </c>
      <c r="AI503">
        <v>0</v>
      </c>
    </row>
    <row r="504" spans="1:39" hidden="1" x14ac:dyDescent="0.2">
      <c r="A504" t="s">
        <v>973</v>
      </c>
      <c r="B504" t="s">
        <v>54</v>
      </c>
      <c r="C504" t="s">
        <v>35</v>
      </c>
      <c r="D504">
        <v>4.4000000000000004</v>
      </c>
      <c r="E504">
        <v>0</v>
      </c>
      <c r="F504">
        <v>0</v>
      </c>
      <c r="G504">
        <v>0.1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 t="s">
        <v>556</v>
      </c>
      <c r="Z504">
        <v>552</v>
      </c>
      <c r="AA504">
        <v>74</v>
      </c>
      <c r="AB504">
        <v>563</v>
      </c>
      <c r="AC504">
        <v>59</v>
      </c>
      <c r="AD504">
        <v>608</v>
      </c>
      <c r="AE504">
        <v>64</v>
      </c>
      <c r="AF504">
        <v>458</v>
      </c>
      <c r="AG504">
        <v>64</v>
      </c>
      <c r="AI504">
        <v>0</v>
      </c>
    </row>
    <row r="505" spans="1:39" x14ac:dyDescent="0.2">
      <c r="A505" t="s">
        <v>557</v>
      </c>
      <c r="B505" t="s">
        <v>54</v>
      </c>
      <c r="C505" t="s">
        <v>35</v>
      </c>
      <c r="D505">
        <v>4.3</v>
      </c>
      <c r="E505">
        <v>0</v>
      </c>
      <c r="F505">
        <v>0</v>
      </c>
      <c r="G505">
        <v>0.4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 t="s">
        <v>1000</v>
      </c>
      <c r="Z505">
        <v>607</v>
      </c>
      <c r="AA505">
        <v>82</v>
      </c>
      <c r="AB505">
        <v>527</v>
      </c>
      <c r="AC505">
        <v>52</v>
      </c>
      <c r="AD505">
        <v>576</v>
      </c>
      <c r="AE505">
        <v>57</v>
      </c>
      <c r="AF505">
        <v>269</v>
      </c>
      <c r="AG505">
        <v>41</v>
      </c>
      <c r="AH505">
        <f>fpl_player_statistics_cleaned[[#This Row],[Total Points]] / fpl_player_statistics_cleaned[[#This Row],[Now Cost]]</f>
        <v>0</v>
      </c>
      <c r="AI505">
        <f>fpl_player_statistics_cleaned[[#This Row],[Goals Scored]] + fpl_player_statistics_cleaned[[#This Row],[Assists]]</f>
        <v>0</v>
      </c>
      <c r="AJ505" t="e">
        <f>fpl_player_statistics_cleaned[[#This Row],[Total Points]] / fpl_player_statistics_cleaned[[#This Row],[Starts]]</f>
        <v>#DIV/0!</v>
      </c>
      <c r="AK505">
        <f>((fpl_player_statistics_cleaned[[#This Row],[Points Per Game]]) * fpl_player_statistics_cleaned[[#This Row],[Form]]) / fpl_player_statistics_cleaned[[#This Row],[Now Cost]]</f>
        <v>0</v>
      </c>
      <c r="AL505" t="e">
        <f>fpl_player_statistics_cleaned[[#This Row],[Minutes]] / fpl_player_statistics_cleaned[[#This Row],[Total Points]]</f>
        <v>#DIV/0!</v>
      </c>
      <c r="AM50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06" spans="1:39" hidden="1" x14ac:dyDescent="0.2">
      <c r="A506" t="s">
        <v>558</v>
      </c>
      <c r="B506" t="s">
        <v>46</v>
      </c>
      <c r="C506" t="s">
        <v>38</v>
      </c>
      <c r="D506">
        <v>4.5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 t="s">
        <v>559</v>
      </c>
      <c r="Z506">
        <v>411</v>
      </c>
      <c r="AA506">
        <v>81</v>
      </c>
      <c r="AB506">
        <v>586</v>
      </c>
      <c r="AC506">
        <v>227</v>
      </c>
      <c r="AD506">
        <v>630</v>
      </c>
      <c r="AE506">
        <v>236</v>
      </c>
      <c r="AF506">
        <v>671</v>
      </c>
      <c r="AG506">
        <v>226</v>
      </c>
      <c r="AI506">
        <v>0</v>
      </c>
    </row>
    <row r="507" spans="1:39" hidden="1" x14ac:dyDescent="0.2">
      <c r="A507" t="s">
        <v>560</v>
      </c>
      <c r="B507" t="s">
        <v>46</v>
      </c>
      <c r="C507" t="s">
        <v>38</v>
      </c>
      <c r="D507">
        <v>4</v>
      </c>
      <c r="E507">
        <v>0</v>
      </c>
      <c r="F507">
        <v>0</v>
      </c>
      <c r="G507">
        <v>0.1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t="s">
        <v>561</v>
      </c>
      <c r="Z507">
        <v>691</v>
      </c>
      <c r="AA507">
        <v>201</v>
      </c>
      <c r="AB507">
        <v>499</v>
      </c>
      <c r="AC507">
        <v>202</v>
      </c>
      <c r="AD507">
        <v>554</v>
      </c>
      <c r="AE507">
        <v>217</v>
      </c>
      <c r="AF507">
        <v>473</v>
      </c>
      <c r="AG507">
        <v>173</v>
      </c>
      <c r="AI507">
        <v>0</v>
      </c>
    </row>
    <row r="508" spans="1:39" hidden="1" x14ac:dyDescent="0.2">
      <c r="A508" t="s">
        <v>562</v>
      </c>
      <c r="B508" t="s">
        <v>54</v>
      </c>
      <c r="C508" t="s">
        <v>41</v>
      </c>
      <c r="D508">
        <v>4.4000000000000004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 t="s">
        <v>563</v>
      </c>
      <c r="Z508">
        <v>536</v>
      </c>
      <c r="AA508">
        <v>309</v>
      </c>
      <c r="AB508">
        <v>550</v>
      </c>
      <c r="AC508">
        <v>197</v>
      </c>
      <c r="AD508">
        <v>596</v>
      </c>
      <c r="AE508">
        <v>224</v>
      </c>
      <c r="AF508">
        <v>593</v>
      </c>
      <c r="AG508">
        <v>231</v>
      </c>
      <c r="AI508">
        <v>0</v>
      </c>
    </row>
    <row r="509" spans="1:39" x14ac:dyDescent="0.2">
      <c r="A509" t="s">
        <v>564</v>
      </c>
      <c r="B509" t="s">
        <v>54</v>
      </c>
      <c r="C509" t="s">
        <v>41</v>
      </c>
      <c r="D509">
        <v>4.4000000000000004</v>
      </c>
      <c r="E509">
        <v>0</v>
      </c>
      <c r="F509">
        <v>0</v>
      </c>
      <c r="G509">
        <v>0.2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 t="s">
        <v>1000</v>
      </c>
      <c r="Z509">
        <v>531</v>
      </c>
      <c r="AA509">
        <v>306</v>
      </c>
      <c r="AB509">
        <v>546</v>
      </c>
      <c r="AC509">
        <v>194</v>
      </c>
      <c r="AD509">
        <v>592</v>
      </c>
      <c r="AE509">
        <v>221</v>
      </c>
      <c r="AF509">
        <v>353</v>
      </c>
      <c r="AG509">
        <v>120</v>
      </c>
      <c r="AH509">
        <f>fpl_player_statistics_cleaned[[#This Row],[Total Points]] / fpl_player_statistics_cleaned[[#This Row],[Now Cost]]</f>
        <v>0</v>
      </c>
      <c r="AI509">
        <f>fpl_player_statistics_cleaned[[#This Row],[Goals Scored]] + fpl_player_statistics_cleaned[[#This Row],[Assists]]</f>
        <v>0</v>
      </c>
      <c r="AJ509" t="e">
        <f>fpl_player_statistics_cleaned[[#This Row],[Total Points]] / fpl_player_statistics_cleaned[[#This Row],[Starts]]</f>
        <v>#DIV/0!</v>
      </c>
      <c r="AK509">
        <f>((fpl_player_statistics_cleaned[[#This Row],[Points Per Game]]) * fpl_player_statistics_cleaned[[#This Row],[Form]]) / fpl_player_statistics_cleaned[[#This Row],[Now Cost]]</f>
        <v>0</v>
      </c>
      <c r="AL509" t="e">
        <f>fpl_player_statistics_cleaned[[#This Row],[Minutes]] / fpl_player_statistics_cleaned[[#This Row],[Total Points]]</f>
        <v>#DIV/0!</v>
      </c>
      <c r="AM50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10" spans="1:39" x14ac:dyDescent="0.2">
      <c r="A510" t="s">
        <v>565</v>
      </c>
      <c r="B510" t="s">
        <v>54</v>
      </c>
      <c r="C510" t="s">
        <v>41</v>
      </c>
      <c r="D510">
        <v>4.4000000000000004</v>
      </c>
      <c r="E510">
        <v>0</v>
      </c>
      <c r="F510">
        <v>0</v>
      </c>
      <c r="G510">
        <v>0.1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 t="s">
        <v>1000</v>
      </c>
      <c r="Z510">
        <v>548</v>
      </c>
      <c r="AA510">
        <v>315</v>
      </c>
      <c r="AB510">
        <v>561</v>
      </c>
      <c r="AC510">
        <v>203</v>
      </c>
      <c r="AD510">
        <v>606</v>
      </c>
      <c r="AE510">
        <v>230</v>
      </c>
      <c r="AF510">
        <v>548</v>
      </c>
      <c r="AG510">
        <v>202</v>
      </c>
      <c r="AH510">
        <f>fpl_player_statistics_cleaned[[#This Row],[Total Points]] / fpl_player_statistics_cleaned[[#This Row],[Now Cost]]</f>
        <v>0</v>
      </c>
      <c r="AI510">
        <f>fpl_player_statistics_cleaned[[#This Row],[Goals Scored]] + fpl_player_statistics_cleaned[[#This Row],[Assists]]</f>
        <v>0</v>
      </c>
      <c r="AJ510" t="e">
        <f>fpl_player_statistics_cleaned[[#This Row],[Total Points]] / fpl_player_statistics_cleaned[[#This Row],[Starts]]</f>
        <v>#DIV/0!</v>
      </c>
      <c r="AK510">
        <f>((fpl_player_statistics_cleaned[[#This Row],[Points Per Game]]) * fpl_player_statistics_cleaned[[#This Row],[Form]]) / fpl_player_statistics_cleaned[[#This Row],[Now Cost]]</f>
        <v>0</v>
      </c>
      <c r="AL510" t="e">
        <f>fpl_player_statistics_cleaned[[#This Row],[Minutes]] / fpl_player_statistics_cleaned[[#This Row],[Total Points]]</f>
        <v>#DIV/0!</v>
      </c>
      <c r="AM51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11" spans="1:39" hidden="1" x14ac:dyDescent="0.2">
      <c r="A511" t="s">
        <v>566</v>
      </c>
      <c r="B511" t="s">
        <v>54</v>
      </c>
      <c r="C511" t="s">
        <v>41</v>
      </c>
      <c r="D511">
        <v>4.5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 t="s">
        <v>567</v>
      </c>
      <c r="Z511">
        <v>427</v>
      </c>
      <c r="AA511">
        <v>253</v>
      </c>
      <c r="AB511">
        <v>594</v>
      </c>
      <c r="AC511">
        <v>225</v>
      </c>
      <c r="AD511">
        <v>637</v>
      </c>
      <c r="AE511">
        <v>251</v>
      </c>
      <c r="AF511">
        <v>716</v>
      </c>
      <c r="AG511">
        <v>313</v>
      </c>
    </row>
    <row r="512" spans="1:39" hidden="1" x14ac:dyDescent="0.2">
      <c r="A512" t="s">
        <v>568</v>
      </c>
      <c r="B512" t="s">
        <v>54</v>
      </c>
      <c r="C512" t="s">
        <v>41</v>
      </c>
      <c r="D512">
        <v>4.5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 t="s">
        <v>569</v>
      </c>
      <c r="Z512">
        <v>401</v>
      </c>
      <c r="AA512">
        <v>245</v>
      </c>
      <c r="AB512">
        <v>581</v>
      </c>
      <c r="AC512">
        <v>217</v>
      </c>
      <c r="AD512">
        <v>626</v>
      </c>
      <c r="AE512">
        <v>244</v>
      </c>
      <c r="AF512">
        <v>605</v>
      </c>
      <c r="AG512">
        <v>240</v>
      </c>
    </row>
    <row r="513" spans="1:39" x14ac:dyDescent="0.2">
      <c r="A513" t="s">
        <v>570</v>
      </c>
      <c r="B513" t="s">
        <v>54</v>
      </c>
      <c r="C513" t="s">
        <v>41</v>
      </c>
      <c r="D513">
        <v>4.3</v>
      </c>
      <c r="E513">
        <v>0</v>
      </c>
      <c r="F513">
        <v>0</v>
      </c>
      <c r="G513">
        <v>0.5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 t="s">
        <v>1000</v>
      </c>
      <c r="Z513">
        <v>593</v>
      </c>
      <c r="AA513">
        <v>329</v>
      </c>
      <c r="AB513">
        <v>519</v>
      </c>
      <c r="AC513">
        <v>183</v>
      </c>
      <c r="AD513">
        <v>569</v>
      </c>
      <c r="AE513">
        <v>211</v>
      </c>
      <c r="AF513">
        <v>236</v>
      </c>
      <c r="AG513">
        <v>84</v>
      </c>
      <c r="AH513">
        <f>fpl_player_statistics_cleaned[[#This Row],[Total Points]] / fpl_player_statistics_cleaned[[#This Row],[Now Cost]]</f>
        <v>0</v>
      </c>
      <c r="AI513">
        <f>fpl_player_statistics_cleaned[[#This Row],[Goals Scored]] + fpl_player_statistics_cleaned[[#This Row],[Assists]]</f>
        <v>0</v>
      </c>
      <c r="AJ513" t="e">
        <f>fpl_player_statistics_cleaned[[#This Row],[Total Points]] / fpl_player_statistics_cleaned[[#This Row],[Starts]]</f>
        <v>#DIV/0!</v>
      </c>
      <c r="AK513">
        <f>((fpl_player_statistics_cleaned[[#This Row],[Points Per Game]]) * fpl_player_statistics_cleaned[[#This Row],[Form]]) / fpl_player_statistics_cleaned[[#This Row],[Now Cost]]</f>
        <v>0</v>
      </c>
      <c r="AL513" t="e">
        <f>fpl_player_statistics_cleaned[[#This Row],[Minutes]] / fpl_player_statistics_cleaned[[#This Row],[Total Points]]</f>
        <v>#DIV/0!</v>
      </c>
      <c r="AM51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14" spans="1:39" x14ac:dyDescent="0.2">
      <c r="A514" t="s">
        <v>571</v>
      </c>
      <c r="B514" t="s">
        <v>46</v>
      </c>
      <c r="C514" t="s">
        <v>38</v>
      </c>
      <c r="D514">
        <v>3.9</v>
      </c>
      <c r="E514">
        <v>0</v>
      </c>
      <c r="F514">
        <v>0</v>
      </c>
      <c r="G514">
        <v>0.2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 t="s">
        <v>1000</v>
      </c>
      <c r="Z514">
        <v>748</v>
      </c>
      <c r="AA514">
        <v>245</v>
      </c>
      <c r="AB514">
        <v>434</v>
      </c>
      <c r="AC514">
        <v>170</v>
      </c>
      <c r="AD514">
        <v>491</v>
      </c>
      <c r="AE514">
        <v>187</v>
      </c>
      <c r="AF514">
        <v>348</v>
      </c>
      <c r="AG514">
        <v>124</v>
      </c>
      <c r="AH514">
        <f>fpl_player_statistics_cleaned[[#This Row],[Total Points]] / fpl_player_statistics_cleaned[[#This Row],[Now Cost]]</f>
        <v>0</v>
      </c>
      <c r="AI514">
        <f>fpl_player_statistics_cleaned[[#This Row],[Goals Scored]] + fpl_player_statistics_cleaned[[#This Row],[Assists]]</f>
        <v>0</v>
      </c>
      <c r="AJ514" t="e">
        <f>fpl_player_statistics_cleaned[[#This Row],[Total Points]] / fpl_player_statistics_cleaned[[#This Row],[Starts]]</f>
        <v>#DIV/0!</v>
      </c>
      <c r="AK514">
        <f>((fpl_player_statistics_cleaned[[#This Row],[Points Per Game]]) * fpl_player_statistics_cleaned[[#This Row],[Form]]) / fpl_player_statistics_cleaned[[#This Row],[Now Cost]]</f>
        <v>0</v>
      </c>
      <c r="AL514" t="e">
        <f>fpl_player_statistics_cleaned[[#This Row],[Minutes]] / fpl_player_statistics_cleaned[[#This Row],[Total Points]]</f>
        <v>#DIV/0!</v>
      </c>
      <c r="AM51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15" spans="1:39" hidden="1" x14ac:dyDescent="0.2">
      <c r="A515" t="s">
        <v>572</v>
      </c>
      <c r="B515" t="s">
        <v>51</v>
      </c>
      <c r="C515" t="s">
        <v>41</v>
      </c>
      <c r="D515">
        <v>4.5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 t="s">
        <v>573</v>
      </c>
      <c r="Z515">
        <v>485</v>
      </c>
      <c r="AA515">
        <v>295</v>
      </c>
      <c r="AB515">
        <v>639</v>
      </c>
      <c r="AC515">
        <v>262</v>
      </c>
      <c r="AD515">
        <v>680</v>
      </c>
      <c r="AE515">
        <v>286</v>
      </c>
      <c r="AF515">
        <v>682</v>
      </c>
      <c r="AG515">
        <v>290</v>
      </c>
    </row>
    <row r="516" spans="1:39" x14ac:dyDescent="0.2">
      <c r="A516" t="s">
        <v>574</v>
      </c>
      <c r="B516" t="s">
        <v>51</v>
      </c>
      <c r="C516" t="s">
        <v>35</v>
      </c>
      <c r="D516">
        <v>4.3</v>
      </c>
      <c r="E516">
        <v>0</v>
      </c>
      <c r="F516">
        <v>0</v>
      </c>
      <c r="G516">
        <v>0.7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 t="s">
        <v>1000</v>
      </c>
      <c r="Z516">
        <v>595</v>
      </c>
      <c r="AA516">
        <v>80</v>
      </c>
      <c r="AB516">
        <v>520</v>
      </c>
      <c r="AC516">
        <v>50</v>
      </c>
      <c r="AD516">
        <v>570</v>
      </c>
      <c r="AE516">
        <v>55</v>
      </c>
      <c r="AF516">
        <v>211</v>
      </c>
      <c r="AG516">
        <v>34</v>
      </c>
      <c r="AH516">
        <f>fpl_player_statistics_cleaned[[#This Row],[Total Points]] / fpl_player_statistics_cleaned[[#This Row],[Now Cost]]</f>
        <v>0</v>
      </c>
      <c r="AI516">
        <f>fpl_player_statistics_cleaned[[#This Row],[Goals Scored]] + fpl_player_statistics_cleaned[[#This Row],[Assists]]</f>
        <v>0</v>
      </c>
      <c r="AJ516" t="e">
        <f>fpl_player_statistics_cleaned[[#This Row],[Total Points]] / fpl_player_statistics_cleaned[[#This Row],[Starts]]</f>
        <v>#DIV/0!</v>
      </c>
      <c r="AK516">
        <f>((fpl_player_statistics_cleaned[[#This Row],[Points Per Game]]) * fpl_player_statistics_cleaned[[#This Row],[Form]]) / fpl_player_statistics_cleaned[[#This Row],[Now Cost]]</f>
        <v>0</v>
      </c>
      <c r="AL516" t="e">
        <f>fpl_player_statistics_cleaned[[#This Row],[Minutes]] / fpl_player_statistics_cleaned[[#This Row],[Total Points]]</f>
        <v>#DIV/0!</v>
      </c>
      <c r="AM51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17" spans="1:39" hidden="1" x14ac:dyDescent="0.2">
      <c r="A517" t="s">
        <v>575</v>
      </c>
      <c r="B517" t="s">
        <v>65</v>
      </c>
      <c r="C517" t="s">
        <v>35</v>
      </c>
      <c r="D517">
        <v>4.4000000000000004</v>
      </c>
      <c r="E517">
        <v>0</v>
      </c>
      <c r="F517">
        <v>0</v>
      </c>
      <c r="G517">
        <v>0.1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t="s">
        <v>974</v>
      </c>
      <c r="Z517">
        <v>505</v>
      </c>
      <c r="AA517">
        <v>68</v>
      </c>
      <c r="AB517">
        <v>533</v>
      </c>
      <c r="AC517">
        <v>53</v>
      </c>
      <c r="AD517">
        <v>580</v>
      </c>
      <c r="AE517">
        <v>58</v>
      </c>
      <c r="AF517">
        <v>411</v>
      </c>
      <c r="AG517">
        <v>58</v>
      </c>
    </row>
    <row r="518" spans="1:39" x14ac:dyDescent="0.2">
      <c r="A518" t="s">
        <v>576</v>
      </c>
      <c r="B518" t="s">
        <v>70</v>
      </c>
      <c r="C518" t="s">
        <v>38</v>
      </c>
      <c r="D518">
        <v>3.9</v>
      </c>
      <c r="E518">
        <v>0</v>
      </c>
      <c r="F518">
        <v>0</v>
      </c>
      <c r="G518">
        <v>0.3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t="s">
        <v>1000</v>
      </c>
      <c r="Z518">
        <v>727</v>
      </c>
      <c r="AA518">
        <v>225</v>
      </c>
      <c r="AB518">
        <v>415</v>
      </c>
      <c r="AC518">
        <v>152</v>
      </c>
      <c r="AD518">
        <v>473</v>
      </c>
      <c r="AE518">
        <v>170</v>
      </c>
      <c r="AF518">
        <v>303</v>
      </c>
      <c r="AG518">
        <v>108</v>
      </c>
      <c r="AH518">
        <f>fpl_player_statistics_cleaned[[#This Row],[Total Points]] / fpl_player_statistics_cleaned[[#This Row],[Now Cost]]</f>
        <v>0</v>
      </c>
      <c r="AI518">
        <f>fpl_player_statistics_cleaned[[#This Row],[Goals Scored]] + fpl_player_statistics_cleaned[[#This Row],[Assists]]</f>
        <v>0</v>
      </c>
      <c r="AJ518" t="e">
        <f>fpl_player_statistics_cleaned[[#This Row],[Total Points]] / fpl_player_statistics_cleaned[[#This Row],[Starts]]</f>
        <v>#DIV/0!</v>
      </c>
      <c r="AK518">
        <f>((fpl_player_statistics_cleaned[[#This Row],[Points Per Game]]) * fpl_player_statistics_cleaned[[#This Row],[Form]]) / fpl_player_statistics_cleaned[[#This Row],[Now Cost]]</f>
        <v>0</v>
      </c>
      <c r="AL518" t="e">
        <f>fpl_player_statistics_cleaned[[#This Row],[Minutes]] / fpl_player_statistics_cleaned[[#This Row],[Total Points]]</f>
        <v>#DIV/0!</v>
      </c>
      <c r="AM51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19" spans="1:39" hidden="1" x14ac:dyDescent="0.2">
      <c r="A519" t="s">
        <v>577</v>
      </c>
      <c r="B519" t="s">
        <v>70</v>
      </c>
      <c r="C519" t="s">
        <v>55</v>
      </c>
      <c r="D519">
        <v>4</v>
      </c>
      <c r="E519">
        <v>0</v>
      </c>
      <c r="F519">
        <v>0</v>
      </c>
      <c r="G519">
        <v>0.1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 t="s">
        <v>578</v>
      </c>
      <c r="Z519">
        <v>652</v>
      </c>
      <c r="AA519">
        <v>60</v>
      </c>
      <c r="AB519">
        <v>466</v>
      </c>
      <c r="AC519">
        <v>54</v>
      </c>
      <c r="AD519">
        <v>523</v>
      </c>
      <c r="AE519">
        <v>61</v>
      </c>
      <c r="AF519">
        <v>432</v>
      </c>
      <c r="AG519">
        <v>66</v>
      </c>
    </row>
    <row r="520" spans="1:39" x14ac:dyDescent="0.2">
      <c r="A520" t="s">
        <v>579</v>
      </c>
      <c r="B520" t="s">
        <v>153</v>
      </c>
      <c r="C520" t="s">
        <v>38</v>
      </c>
      <c r="D520">
        <v>3.9</v>
      </c>
      <c r="E520">
        <v>0</v>
      </c>
      <c r="F520">
        <v>0</v>
      </c>
      <c r="G520">
        <v>1.4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 t="s">
        <v>1000</v>
      </c>
      <c r="Z520">
        <v>729</v>
      </c>
      <c r="AA520">
        <v>227</v>
      </c>
      <c r="AB520">
        <v>417</v>
      </c>
      <c r="AC520">
        <v>154</v>
      </c>
      <c r="AD520">
        <v>475</v>
      </c>
      <c r="AE520">
        <v>172</v>
      </c>
      <c r="AF520">
        <v>152</v>
      </c>
      <c r="AG520">
        <v>58</v>
      </c>
      <c r="AH520">
        <f>fpl_player_statistics_cleaned[[#This Row],[Total Points]] / fpl_player_statistics_cleaned[[#This Row],[Now Cost]]</f>
        <v>0</v>
      </c>
      <c r="AI520">
        <f>fpl_player_statistics_cleaned[[#This Row],[Goals Scored]] + fpl_player_statistics_cleaned[[#This Row],[Assists]]</f>
        <v>0</v>
      </c>
      <c r="AJ520" t="e">
        <f>fpl_player_statistics_cleaned[[#This Row],[Total Points]] / fpl_player_statistics_cleaned[[#This Row],[Starts]]</f>
        <v>#DIV/0!</v>
      </c>
      <c r="AK520">
        <f>((fpl_player_statistics_cleaned[[#This Row],[Points Per Game]]) * fpl_player_statistics_cleaned[[#This Row],[Form]]) / fpl_player_statistics_cleaned[[#This Row],[Now Cost]]</f>
        <v>0</v>
      </c>
      <c r="AL520" t="e">
        <f>fpl_player_statistics_cleaned[[#This Row],[Minutes]] / fpl_player_statistics_cleaned[[#This Row],[Total Points]]</f>
        <v>#DIV/0!</v>
      </c>
      <c r="AM52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21" spans="1:39" hidden="1" x14ac:dyDescent="0.2">
      <c r="A521" t="s">
        <v>580</v>
      </c>
      <c r="B521" t="s">
        <v>153</v>
      </c>
      <c r="C521" t="s">
        <v>38</v>
      </c>
      <c r="D521">
        <v>4</v>
      </c>
      <c r="E521">
        <v>0</v>
      </c>
      <c r="F521">
        <v>0</v>
      </c>
      <c r="G521">
        <v>0.5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 t="s">
        <v>581</v>
      </c>
      <c r="Z521">
        <v>694</v>
      </c>
      <c r="AA521">
        <v>204</v>
      </c>
      <c r="AB521">
        <v>502</v>
      </c>
      <c r="AC521">
        <v>205</v>
      </c>
      <c r="AD521">
        <v>557</v>
      </c>
      <c r="AE521">
        <v>220</v>
      </c>
      <c r="AF521">
        <v>242</v>
      </c>
      <c r="AG521">
        <v>88</v>
      </c>
    </row>
    <row r="522" spans="1:39" hidden="1" x14ac:dyDescent="0.2">
      <c r="A522" t="s">
        <v>582</v>
      </c>
      <c r="B522" t="s">
        <v>153</v>
      </c>
      <c r="C522" t="s">
        <v>38</v>
      </c>
      <c r="D522">
        <v>4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 t="s">
        <v>583</v>
      </c>
      <c r="Z522">
        <v>679</v>
      </c>
      <c r="AA522">
        <v>192</v>
      </c>
      <c r="AB522">
        <v>487</v>
      </c>
      <c r="AC522">
        <v>193</v>
      </c>
      <c r="AD522">
        <v>543</v>
      </c>
      <c r="AE522">
        <v>209</v>
      </c>
      <c r="AF522">
        <v>708</v>
      </c>
      <c r="AG522">
        <v>239</v>
      </c>
    </row>
    <row r="523" spans="1:39" hidden="1" x14ac:dyDescent="0.2">
      <c r="A523" t="s">
        <v>584</v>
      </c>
      <c r="B523" t="s">
        <v>70</v>
      </c>
      <c r="C523" t="s">
        <v>55</v>
      </c>
      <c r="D523">
        <v>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 t="s">
        <v>585</v>
      </c>
      <c r="Z523">
        <v>651</v>
      </c>
      <c r="AA523">
        <v>59</v>
      </c>
      <c r="AB523">
        <v>465</v>
      </c>
      <c r="AC523">
        <v>53</v>
      </c>
      <c r="AD523">
        <v>522</v>
      </c>
      <c r="AE523">
        <v>60</v>
      </c>
      <c r="AF523">
        <v>696</v>
      </c>
      <c r="AG523">
        <v>81</v>
      </c>
    </row>
    <row r="524" spans="1:39" hidden="1" x14ac:dyDescent="0.2">
      <c r="A524" t="s">
        <v>975</v>
      </c>
      <c r="B524" t="s">
        <v>70</v>
      </c>
      <c r="C524" t="s">
        <v>38</v>
      </c>
      <c r="D524">
        <v>3.9</v>
      </c>
      <c r="E524">
        <v>0</v>
      </c>
      <c r="F524">
        <v>0</v>
      </c>
      <c r="G524">
        <v>0.2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 t="s">
        <v>407</v>
      </c>
      <c r="Z524">
        <v>746</v>
      </c>
      <c r="AA524">
        <v>243</v>
      </c>
      <c r="AB524">
        <v>432</v>
      </c>
      <c r="AC524">
        <v>168</v>
      </c>
      <c r="AD524">
        <v>489</v>
      </c>
      <c r="AE524">
        <v>185</v>
      </c>
      <c r="AF524">
        <v>333</v>
      </c>
      <c r="AG524">
        <v>117</v>
      </c>
    </row>
    <row r="525" spans="1:39" hidden="1" x14ac:dyDescent="0.2">
      <c r="A525" t="s">
        <v>976</v>
      </c>
      <c r="B525" t="s">
        <v>70</v>
      </c>
      <c r="C525" t="s">
        <v>38</v>
      </c>
      <c r="D525">
        <v>4</v>
      </c>
      <c r="E525">
        <v>0</v>
      </c>
      <c r="F525">
        <v>0</v>
      </c>
      <c r="G525">
        <v>2.2999999999999998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 t="s">
        <v>586</v>
      </c>
      <c r="Z525">
        <v>624</v>
      </c>
      <c r="AA525">
        <v>161</v>
      </c>
      <c r="AB525">
        <v>441</v>
      </c>
      <c r="AC525">
        <v>171</v>
      </c>
      <c r="AD525">
        <v>498</v>
      </c>
      <c r="AE525">
        <v>188</v>
      </c>
      <c r="AF525">
        <v>116</v>
      </c>
      <c r="AG525">
        <v>45</v>
      </c>
    </row>
    <row r="526" spans="1:39" hidden="1" x14ac:dyDescent="0.2">
      <c r="A526" t="s">
        <v>587</v>
      </c>
      <c r="B526" t="s">
        <v>70</v>
      </c>
      <c r="C526" t="s">
        <v>38</v>
      </c>
      <c r="D526">
        <v>4</v>
      </c>
      <c r="E526">
        <v>0</v>
      </c>
      <c r="F526">
        <v>0</v>
      </c>
      <c r="G526">
        <v>0.1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 t="s">
        <v>588</v>
      </c>
      <c r="Z526">
        <v>686</v>
      </c>
      <c r="AA526">
        <v>197</v>
      </c>
      <c r="AB526">
        <v>494</v>
      </c>
      <c r="AC526">
        <v>198</v>
      </c>
      <c r="AD526">
        <v>549</v>
      </c>
      <c r="AE526">
        <v>213</v>
      </c>
      <c r="AF526">
        <v>412</v>
      </c>
      <c r="AG526">
        <v>153</v>
      </c>
    </row>
    <row r="527" spans="1:39" hidden="1" x14ac:dyDescent="0.2">
      <c r="A527" t="s">
        <v>589</v>
      </c>
      <c r="B527" t="s">
        <v>37</v>
      </c>
      <c r="C527" t="s">
        <v>35</v>
      </c>
      <c r="D527">
        <v>6.4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 t="s">
        <v>307</v>
      </c>
      <c r="Z527">
        <v>61</v>
      </c>
      <c r="AA527">
        <v>20</v>
      </c>
      <c r="AB527">
        <v>737</v>
      </c>
      <c r="AC527">
        <v>78</v>
      </c>
      <c r="AD527">
        <v>744</v>
      </c>
      <c r="AE527">
        <v>80</v>
      </c>
      <c r="AF527">
        <v>595</v>
      </c>
      <c r="AG527">
        <v>75</v>
      </c>
    </row>
    <row r="528" spans="1:39" hidden="1" x14ac:dyDescent="0.2">
      <c r="A528" t="s">
        <v>590</v>
      </c>
      <c r="B528" t="s">
        <v>70</v>
      </c>
      <c r="C528" t="s">
        <v>41</v>
      </c>
      <c r="D528">
        <v>5.5</v>
      </c>
      <c r="E528">
        <v>0</v>
      </c>
      <c r="F528">
        <v>0</v>
      </c>
      <c r="G528">
        <v>0.1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 t="s">
        <v>591</v>
      </c>
      <c r="Z528">
        <v>141</v>
      </c>
      <c r="AA528">
        <v>90</v>
      </c>
      <c r="AB528">
        <v>724</v>
      </c>
      <c r="AC528">
        <v>317</v>
      </c>
      <c r="AD528">
        <v>736</v>
      </c>
      <c r="AE528">
        <v>324</v>
      </c>
      <c r="AF528">
        <v>493</v>
      </c>
      <c r="AG528">
        <v>173</v>
      </c>
    </row>
    <row r="529" spans="1:39" hidden="1" x14ac:dyDescent="0.2">
      <c r="A529" t="s">
        <v>592</v>
      </c>
      <c r="B529" t="s">
        <v>70</v>
      </c>
      <c r="C529" t="s">
        <v>41</v>
      </c>
      <c r="D529">
        <v>5.5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 t="s">
        <v>593</v>
      </c>
      <c r="Z529">
        <v>148</v>
      </c>
      <c r="AA529">
        <v>95</v>
      </c>
      <c r="AB529">
        <v>726</v>
      </c>
      <c r="AC529">
        <v>319</v>
      </c>
      <c r="AD529">
        <v>737</v>
      </c>
      <c r="AE529">
        <v>325</v>
      </c>
      <c r="AF529">
        <v>653</v>
      </c>
      <c r="AG529">
        <v>270</v>
      </c>
    </row>
    <row r="530" spans="1:39" hidden="1" x14ac:dyDescent="0.2">
      <c r="A530" t="s">
        <v>594</v>
      </c>
      <c r="B530" t="s">
        <v>70</v>
      </c>
      <c r="C530" t="s">
        <v>41</v>
      </c>
      <c r="D530">
        <v>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 t="s">
        <v>595</v>
      </c>
      <c r="Z530">
        <v>274</v>
      </c>
      <c r="AA530">
        <v>169</v>
      </c>
      <c r="AB530">
        <v>691</v>
      </c>
      <c r="AC530">
        <v>294</v>
      </c>
      <c r="AD530">
        <v>717</v>
      </c>
      <c r="AE530">
        <v>311</v>
      </c>
      <c r="AF530">
        <v>751</v>
      </c>
      <c r="AG530">
        <v>333</v>
      </c>
    </row>
    <row r="531" spans="1:39" x14ac:dyDescent="0.2">
      <c r="A531" t="s">
        <v>596</v>
      </c>
      <c r="B531" t="s">
        <v>153</v>
      </c>
      <c r="C531" t="s">
        <v>55</v>
      </c>
      <c r="D531">
        <v>4</v>
      </c>
      <c r="E531">
        <v>0</v>
      </c>
      <c r="F531">
        <v>0</v>
      </c>
      <c r="G531">
        <v>0.6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 t="s">
        <v>1000</v>
      </c>
      <c r="Z531">
        <v>619</v>
      </c>
      <c r="AA531">
        <v>42</v>
      </c>
      <c r="AB531">
        <v>436</v>
      </c>
      <c r="AC531">
        <v>36</v>
      </c>
      <c r="AD531">
        <v>493</v>
      </c>
      <c r="AE531">
        <v>43</v>
      </c>
      <c r="AF531">
        <v>223</v>
      </c>
      <c r="AG531">
        <v>30</v>
      </c>
      <c r="AH531">
        <f>fpl_player_statistics_cleaned[[#This Row],[Total Points]] / fpl_player_statistics_cleaned[[#This Row],[Now Cost]]</f>
        <v>0</v>
      </c>
      <c r="AI531">
        <f>fpl_player_statistics_cleaned[[#This Row],[Goals Scored]] + fpl_player_statistics_cleaned[[#This Row],[Assists]]</f>
        <v>0</v>
      </c>
      <c r="AJ531" t="e">
        <f>fpl_player_statistics_cleaned[[#This Row],[Total Points]] / fpl_player_statistics_cleaned[[#This Row],[Starts]]</f>
        <v>#DIV/0!</v>
      </c>
      <c r="AK531">
        <f>((fpl_player_statistics_cleaned[[#This Row],[Points Per Game]]) * fpl_player_statistics_cleaned[[#This Row],[Form]]) / fpl_player_statistics_cleaned[[#This Row],[Now Cost]]</f>
        <v>0</v>
      </c>
      <c r="AL531" t="e">
        <f>fpl_player_statistics_cleaned[[#This Row],[Minutes]] / fpl_player_statistics_cleaned[[#This Row],[Total Points]]</f>
        <v>#DIV/0!</v>
      </c>
      <c r="AM53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32" spans="1:39" hidden="1" x14ac:dyDescent="0.2">
      <c r="A532" t="s">
        <v>597</v>
      </c>
      <c r="B532" t="s">
        <v>70</v>
      </c>
      <c r="C532" t="s">
        <v>41</v>
      </c>
      <c r="D532">
        <v>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 t="s">
        <v>598</v>
      </c>
      <c r="Z532">
        <v>268</v>
      </c>
      <c r="AA532">
        <v>165</v>
      </c>
      <c r="AB532">
        <v>686</v>
      </c>
      <c r="AC532">
        <v>290</v>
      </c>
      <c r="AD532">
        <v>712</v>
      </c>
      <c r="AE532">
        <v>307</v>
      </c>
      <c r="AF532">
        <v>635</v>
      </c>
      <c r="AG532">
        <v>260</v>
      </c>
    </row>
    <row r="533" spans="1:39" x14ac:dyDescent="0.2">
      <c r="A533" t="s">
        <v>599</v>
      </c>
      <c r="B533" t="s">
        <v>70</v>
      </c>
      <c r="C533" t="s">
        <v>41</v>
      </c>
      <c r="D533">
        <v>4.5</v>
      </c>
      <c r="E533">
        <v>0</v>
      </c>
      <c r="F533">
        <v>0</v>
      </c>
      <c r="G533">
        <v>0.3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 t="s">
        <v>1000</v>
      </c>
      <c r="Z533">
        <v>469</v>
      </c>
      <c r="AA533">
        <v>282</v>
      </c>
      <c r="AB533">
        <v>626</v>
      </c>
      <c r="AC533">
        <v>250</v>
      </c>
      <c r="AD533">
        <v>669</v>
      </c>
      <c r="AE533">
        <v>276</v>
      </c>
      <c r="AF533">
        <v>297</v>
      </c>
      <c r="AG533">
        <v>103</v>
      </c>
      <c r="AH533">
        <f>fpl_player_statistics_cleaned[[#This Row],[Total Points]] / fpl_player_statistics_cleaned[[#This Row],[Now Cost]]</f>
        <v>0</v>
      </c>
      <c r="AI533">
        <f>fpl_player_statistics_cleaned[[#This Row],[Goals Scored]] + fpl_player_statistics_cleaned[[#This Row],[Assists]]</f>
        <v>0</v>
      </c>
      <c r="AJ533" t="e">
        <f>fpl_player_statistics_cleaned[[#This Row],[Total Points]] / fpl_player_statistics_cleaned[[#This Row],[Starts]]</f>
        <v>#DIV/0!</v>
      </c>
      <c r="AK533">
        <f>((fpl_player_statistics_cleaned[[#This Row],[Points Per Game]]) * fpl_player_statistics_cleaned[[#This Row],[Form]]) / fpl_player_statistics_cleaned[[#This Row],[Now Cost]]</f>
        <v>0</v>
      </c>
      <c r="AL533" t="e">
        <f>fpl_player_statistics_cleaned[[#This Row],[Minutes]] / fpl_player_statistics_cleaned[[#This Row],[Total Points]]</f>
        <v>#DIV/0!</v>
      </c>
      <c r="AM53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34" spans="1:39" x14ac:dyDescent="0.2">
      <c r="A534" t="s">
        <v>600</v>
      </c>
      <c r="B534" t="s">
        <v>97</v>
      </c>
      <c r="C534" t="s">
        <v>38</v>
      </c>
      <c r="D534">
        <v>4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 t="s">
        <v>1000</v>
      </c>
      <c r="Z534">
        <v>695</v>
      </c>
      <c r="AA534">
        <v>205</v>
      </c>
      <c r="AB534">
        <v>503</v>
      </c>
      <c r="AC534">
        <v>206</v>
      </c>
      <c r="AD534">
        <v>558</v>
      </c>
      <c r="AE534">
        <v>221</v>
      </c>
      <c r="AF534">
        <v>749</v>
      </c>
      <c r="AG534">
        <v>248</v>
      </c>
      <c r="AH534">
        <f>fpl_player_statistics_cleaned[[#This Row],[Total Points]] / fpl_player_statistics_cleaned[[#This Row],[Now Cost]]</f>
        <v>0</v>
      </c>
      <c r="AI534">
        <f>fpl_player_statistics_cleaned[[#This Row],[Goals Scored]] + fpl_player_statistics_cleaned[[#This Row],[Assists]]</f>
        <v>0</v>
      </c>
      <c r="AJ534" t="e">
        <f>fpl_player_statistics_cleaned[[#This Row],[Total Points]] / fpl_player_statistics_cleaned[[#This Row],[Starts]]</f>
        <v>#DIV/0!</v>
      </c>
      <c r="AK534">
        <f>((fpl_player_statistics_cleaned[[#This Row],[Points Per Game]]) * fpl_player_statistics_cleaned[[#This Row],[Form]]) / fpl_player_statistics_cleaned[[#This Row],[Now Cost]]</f>
        <v>0</v>
      </c>
      <c r="AL534" t="e">
        <f>fpl_player_statistics_cleaned[[#This Row],[Minutes]] / fpl_player_statistics_cleaned[[#This Row],[Total Points]]</f>
        <v>#DIV/0!</v>
      </c>
      <c r="AM53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35" spans="1:39" x14ac:dyDescent="0.2">
      <c r="A535" t="s">
        <v>601</v>
      </c>
      <c r="B535" t="s">
        <v>37</v>
      </c>
      <c r="C535" t="s">
        <v>41</v>
      </c>
      <c r="D535">
        <v>4.5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t="s">
        <v>1000</v>
      </c>
      <c r="Z535">
        <v>488</v>
      </c>
      <c r="AA535">
        <v>297</v>
      </c>
      <c r="AB535">
        <v>641</v>
      </c>
      <c r="AC535">
        <v>264</v>
      </c>
      <c r="AD535">
        <v>681</v>
      </c>
      <c r="AE535">
        <v>287</v>
      </c>
      <c r="AF535">
        <v>691</v>
      </c>
      <c r="AG535">
        <v>296</v>
      </c>
      <c r="AH535">
        <f>fpl_player_statistics_cleaned[[#This Row],[Total Points]] / fpl_player_statistics_cleaned[[#This Row],[Now Cost]]</f>
        <v>0</v>
      </c>
      <c r="AI535">
        <f>fpl_player_statistics_cleaned[[#This Row],[Goals Scored]] + fpl_player_statistics_cleaned[[#This Row],[Assists]]</f>
        <v>0</v>
      </c>
      <c r="AJ535" t="e">
        <f>fpl_player_statistics_cleaned[[#This Row],[Total Points]] / fpl_player_statistics_cleaned[[#This Row],[Starts]]</f>
        <v>#DIV/0!</v>
      </c>
      <c r="AK535">
        <f>((fpl_player_statistics_cleaned[[#This Row],[Points Per Game]]) * fpl_player_statistics_cleaned[[#This Row],[Form]]) / fpl_player_statistics_cleaned[[#This Row],[Now Cost]]</f>
        <v>0</v>
      </c>
      <c r="AL535" t="e">
        <f>fpl_player_statistics_cleaned[[#This Row],[Minutes]] / fpl_player_statistics_cleaned[[#This Row],[Total Points]]</f>
        <v>#DIV/0!</v>
      </c>
      <c r="AM53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36" spans="1:39" hidden="1" x14ac:dyDescent="0.2">
      <c r="A536" t="s">
        <v>602</v>
      </c>
      <c r="B536" t="s">
        <v>37</v>
      </c>
      <c r="C536" t="s">
        <v>41</v>
      </c>
      <c r="D536">
        <v>4.5</v>
      </c>
      <c r="E536">
        <v>0</v>
      </c>
      <c r="F536">
        <v>0</v>
      </c>
      <c r="G536">
        <v>0.1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t="s">
        <v>603</v>
      </c>
      <c r="Z536">
        <v>420</v>
      </c>
      <c r="AA536">
        <v>249</v>
      </c>
      <c r="AB536">
        <v>589</v>
      </c>
      <c r="AC536">
        <v>221</v>
      </c>
      <c r="AD536">
        <v>632</v>
      </c>
      <c r="AE536">
        <v>247</v>
      </c>
      <c r="AF536">
        <v>547</v>
      </c>
      <c r="AG536">
        <v>201</v>
      </c>
    </row>
    <row r="537" spans="1:39" hidden="1" x14ac:dyDescent="0.2">
      <c r="A537" t="s">
        <v>604</v>
      </c>
      <c r="B537" t="s">
        <v>97</v>
      </c>
      <c r="C537" t="s">
        <v>55</v>
      </c>
      <c r="D537">
        <v>4.5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t="s">
        <v>605</v>
      </c>
      <c r="Z537">
        <v>391</v>
      </c>
      <c r="AA537">
        <v>20</v>
      </c>
      <c r="AB537">
        <v>577</v>
      </c>
      <c r="AC537">
        <v>78</v>
      </c>
      <c r="AD537">
        <v>622</v>
      </c>
      <c r="AE537">
        <v>81</v>
      </c>
      <c r="AF537">
        <v>608</v>
      </c>
      <c r="AG537">
        <v>79</v>
      </c>
    </row>
    <row r="538" spans="1:39" x14ac:dyDescent="0.2">
      <c r="A538" t="s">
        <v>606</v>
      </c>
      <c r="B538" t="s">
        <v>37</v>
      </c>
      <c r="C538" t="s">
        <v>38</v>
      </c>
      <c r="D538">
        <v>3.9</v>
      </c>
      <c r="E538">
        <v>0</v>
      </c>
      <c r="F538">
        <v>0</v>
      </c>
      <c r="G538">
        <v>0.2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t="s">
        <v>1000</v>
      </c>
      <c r="Z538">
        <v>725</v>
      </c>
      <c r="AA538">
        <v>224</v>
      </c>
      <c r="AB538">
        <v>413</v>
      </c>
      <c r="AC538">
        <v>151</v>
      </c>
      <c r="AD538">
        <v>471</v>
      </c>
      <c r="AE538">
        <v>169</v>
      </c>
      <c r="AF538">
        <v>372</v>
      </c>
      <c r="AG538">
        <v>133</v>
      </c>
      <c r="AH538">
        <f>fpl_player_statistics_cleaned[[#This Row],[Total Points]] / fpl_player_statistics_cleaned[[#This Row],[Now Cost]]</f>
        <v>0</v>
      </c>
      <c r="AI538">
        <f>fpl_player_statistics_cleaned[[#This Row],[Goals Scored]] + fpl_player_statistics_cleaned[[#This Row],[Assists]]</f>
        <v>0</v>
      </c>
      <c r="AJ538" t="e">
        <f>fpl_player_statistics_cleaned[[#This Row],[Total Points]] / fpl_player_statistics_cleaned[[#This Row],[Starts]]</f>
        <v>#DIV/0!</v>
      </c>
      <c r="AK538">
        <f>((fpl_player_statistics_cleaned[[#This Row],[Points Per Game]]) * fpl_player_statistics_cleaned[[#This Row],[Form]]) / fpl_player_statistics_cleaned[[#This Row],[Now Cost]]</f>
        <v>0</v>
      </c>
      <c r="AL538" t="e">
        <f>fpl_player_statistics_cleaned[[#This Row],[Minutes]] / fpl_player_statistics_cleaned[[#This Row],[Total Points]]</f>
        <v>#DIV/0!</v>
      </c>
      <c r="AM53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39" spans="1:39" hidden="1" x14ac:dyDescent="0.2">
      <c r="A539" t="s">
        <v>607</v>
      </c>
      <c r="B539" t="s">
        <v>37</v>
      </c>
      <c r="C539" t="s">
        <v>55</v>
      </c>
      <c r="D539">
        <v>4</v>
      </c>
      <c r="E539">
        <v>0</v>
      </c>
      <c r="F539">
        <v>0</v>
      </c>
      <c r="G539">
        <v>0.3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t="s">
        <v>608</v>
      </c>
      <c r="Z539">
        <v>653</v>
      </c>
      <c r="AA539">
        <v>61</v>
      </c>
      <c r="AB539">
        <v>467</v>
      </c>
      <c r="AC539">
        <v>55</v>
      </c>
      <c r="AD539">
        <v>524</v>
      </c>
      <c r="AE539">
        <v>62</v>
      </c>
      <c r="AF539">
        <v>322</v>
      </c>
      <c r="AG539">
        <v>47</v>
      </c>
    </row>
    <row r="540" spans="1:39" x14ac:dyDescent="0.2">
      <c r="A540" t="s">
        <v>609</v>
      </c>
      <c r="B540" t="s">
        <v>37</v>
      </c>
      <c r="C540" t="s">
        <v>55</v>
      </c>
      <c r="D540">
        <v>4</v>
      </c>
      <c r="E540">
        <v>0</v>
      </c>
      <c r="F540">
        <v>0</v>
      </c>
      <c r="G540">
        <v>0.2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 t="s">
        <v>1000</v>
      </c>
      <c r="Z540">
        <v>677</v>
      </c>
      <c r="AA540">
        <v>70</v>
      </c>
      <c r="AB540">
        <v>485</v>
      </c>
      <c r="AC540">
        <v>64</v>
      </c>
      <c r="AD540">
        <v>541</v>
      </c>
      <c r="AE540">
        <v>71</v>
      </c>
      <c r="AF540">
        <v>359</v>
      </c>
      <c r="AG540">
        <v>54</v>
      </c>
      <c r="AH540">
        <f>fpl_player_statistics_cleaned[[#This Row],[Total Points]] / fpl_player_statistics_cleaned[[#This Row],[Now Cost]]</f>
        <v>0</v>
      </c>
      <c r="AI540">
        <f>fpl_player_statistics_cleaned[[#This Row],[Goals Scored]] + fpl_player_statistics_cleaned[[#This Row],[Assists]]</f>
        <v>0</v>
      </c>
      <c r="AJ540" t="e">
        <f>fpl_player_statistics_cleaned[[#This Row],[Total Points]] / fpl_player_statistics_cleaned[[#This Row],[Starts]]</f>
        <v>#DIV/0!</v>
      </c>
      <c r="AK540">
        <f>((fpl_player_statistics_cleaned[[#This Row],[Points Per Game]]) * fpl_player_statistics_cleaned[[#This Row],[Form]]) / fpl_player_statistics_cleaned[[#This Row],[Now Cost]]</f>
        <v>0</v>
      </c>
      <c r="AL540" t="e">
        <f>fpl_player_statistics_cleaned[[#This Row],[Minutes]] / fpl_player_statistics_cleaned[[#This Row],[Total Points]]</f>
        <v>#DIV/0!</v>
      </c>
      <c r="AM54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41" spans="1:39" hidden="1" x14ac:dyDescent="0.2">
      <c r="A541" t="s">
        <v>610</v>
      </c>
      <c r="B541" t="s">
        <v>37</v>
      </c>
      <c r="C541" t="s">
        <v>38</v>
      </c>
      <c r="D541">
        <v>5.4</v>
      </c>
      <c r="E541">
        <v>0</v>
      </c>
      <c r="F541">
        <v>0</v>
      </c>
      <c r="G541">
        <v>0.1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t="s">
        <v>581</v>
      </c>
      <c r="Z541">
        <v>174</v>
      </c>
      <c r="AA541">
        <v>21</v>
      </c>
      <c r="AB541">
        <v>714</v>
      </c>
      <c r="AC541">
        <v>246</v>
      </c>
      <c r="AD541">
        <v>731</v>
      </c>
      <c r="AE541">
        <v>249</v>
      </c>
      <c r="AF541">
        <v>562</v>
      </c>
      <c r="AG541">
        <v>202</v>
      </c>
    </row>
    <row r="542" spans="1:39" x14ac:dyDescent="0.2">
      <c r="A542" t="s">
        <v>611</v>
      </c>
      <c r="B542" t="s">
        <v>37</v>
      </c>
      <c r="C542" t="s">
        <v>38</v>
      </c>
      <c r="D542">
        <v>3.9</v>
      </c>
      <c r="E542">
        <v>0</v>
      </c>
      <c r="F542">
        <v>0</v>
      </c>
      <c r="G542">
        <v>0.4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t="s">
        <v>1000</v>
      </c>
      <c r="Z542">
        <v>739</v>
      </c>
      <c r="AA542">
        <v>237</v>
      </c>
      <c r="AB542">
        <v>426</v>
      </c>
      <c r="AC542">
        <v>163</v>
      </c>
      <c r="AD542">
        <v>483</v>
      </c>
      <c r="AE542">
        <v>180</v>
      </c>
      <c r="AF542">
        <v>250</v>
      </c>
      <c r="AG542">
        <v>92</v>
      </c>
      <c r="AH542">
        <f>fpl_player_statistics_cleaned[[#This Row],[Total Points]] / fpl_player_statistics_cleaned[[#This Row],[Now Cost]]</f>
        <v>0</v>
      </c>
      <c r="AI542">
        <f>fpl_player_statistics_cleaned[[#This Row],[Goals Scored]] + fpl_player_statistics_cleaned[[#This Row],[Assists]]</f>
        <v>0</v>
      </c>
      <c r="AJ542" t="e">
        <f>fpl_player_statistics_cleaned[[#This Row],[Total Points]] / fpl_player_statistics_cleaned[[#This Row],[Starts]]</f>
        <v>#DIV/0!</v>
      </c>
      <c r="AK542">
        <f>((fpl_player_statistics_cleaned[[#This Row],[Points Per Game]]) * fpl_player_statistics_cleaned[[#This Row],[Form]]) / fpl_player_statistics_cleaned[[#This Row],[Now Cost]]</f>
        <v>0</v>
      </c>
      <c r="AL542" t="e">
        <f>fpl_player_statistics_cleaned[[#This Row],[Minutes]] / fpl_player_statistics_cleaned[[#This Row],[Total Points]]</f>
        <v>#DIV/0!</v>
      </c>
      <c r="AM54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43" spans="1:39" hidden="1" x14ac:dyDescent="0.2">
      <c r="A543" t="s">
        <v>612</v>
      </c>
      <c r="B543" t="s">
        <v>37</v>
      </c>
      <c r="C543" t="s">
        <v>38</v>
      </c>
      <c r="D543">
        <v>3.9</v>
      </c>
      <c r="E543">
        <v>0</v>
      </c>
      <c r="F543">
        <v>0</v>
      </c>
      <c r="G543">
        <v>0.1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t="s">
        <v>613</v>
      </c>
      <c r="Z543">
        <v>744</v>
      </c>
      <c r="AA543">
        <v>241</v>
      </c>
      <c r="AB543">
        <v>430</v>
      </c>
      <c r="AC543">
        <v>166</v>
      </c>
      <c r="AD543">
        <v>487</v>
      </c>
      <c r="AE543">
        <v>183</v>
      </c>
      <c r="AF543">
        <v>431</v>
      </c>
      <c r="AG543">
        <v>158</v>
      </c>
    </row>
    <row r="544" spans="1:39" x14ac:dyDescent="0.2">
      <c r="A544" t="s">
        <v>614</v>
      </c>
      <c r="B544" t="s">
        <v>153</v>
      </c>
      <c r="C544" t="s">
        <v>35</v>
      </c>
      <c r="D544">
        <v>4.4000000000000004</v>
      </c>
      <c r="E544">
        <v>0</v>
      </c>
      <c r="F544">
        <v>0</v>
      </c>
      <c r="G544">
        <v>1.8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t="s">
        <v>1000</v>
      </c>
      <c r="Z544">
        <v>542</v>
      </c>
      <c r="AA544">
        <v>71</v>
      </c>
      <c r="AB544">
        <v>556</v>
      </c>
      <c r="AC544">
        <v>56</v>
      </c>
      <c r="AD544">
        <v>601</v>
      </c>
      <c r="AE544">
        <v>61</v>
      </c>
      <c r="AF544">
        <v>132</v>
      </c>
      <c r="AG544">
        <v>19</v>
      </c>
      <c r="AH544">
        <f>fpl_player_statistics_cleaned[[#This Row],[Total Points]] / fpl_player_statistics_cleaned[[#This Row],[Now Cost]]</f>
        <v>0</v>
      </c>
      <c r="AI544">
        <f>fpl_player_statistics_cleaned[[#This Row],[Goals Scored]] + fpl_player_statistics_cleaned[[#This Row],[Assists]]</f>
        <v>0</v>
      </c>
      <c r="AJ544" t="e">
        <f>fpl_player_statistics_cleaned[[#This Row],[Total Points]] / fpl_player_statistics_cleaned[[#This Row],[Starts]]</f>
        <v>#DIV/0!</v>
      </c>
      <c r="AK544">
        <f>((fpl_player_statistics_cleaned[[#This Row],[Points Per Game]]) * fpl_player_statistics_cleaned[[#This Row],[Form]]) / fpl_player_statistics_cleaned[[#This Row],[Now Cost]]</f>
        <v>0</v>
      </c>
      <c r="AL544" t="e">
        <f>fpl_player_statistics_cleaned[[#This Row],[Minutes]] / fpl_player_statistics_cleaned[[#This Row],[Total Points]]</f>
        <v>#DIV/0!</v>
      </c>
      <c r="AM54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45" spans="1:39" hidden="1" x14ac:dyDescent="0.2">
      <c r="A545" t="s">
        <v>615</v>
      </c>
      <c r="B545" t="s">
        <v>153</v>
      </c>
      <c r="C545" t="s">
        <v>35</v>
      </c>
      <c r="D545">
        <v>4.4000000000000004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 t="s">
        <v>429</v>
      </c>
      <c r="Z545">
        <v>557</v>
      </c>
      <c r="AA545">
        <v>76</v>
      </c>
      <c r="AB545">
        <v>567</v>
      </c>
      <c r="AC545">
        <v>60</v>
      </c>
      <c r="AD545">
        <v>612</v>
      </c>
      <c r="AE545">
        <v>65</v>
      </c>
      <c r="AF545">
        <v>629</v>
      </c>
      <c r="AG545">
        <v>77</v>
      </c>
    </row>
    <row r="546" spans="1:39" hidden="1" x14ac:dyDescent="0.2">
      <c r="A546" t="s">
        <v>977</v>
      </c>
      <c r="B546" t="s">
        <v>153</v>
      </c>
      <c r="C546" t="s">
        <v>35</v>
      </c>
      <c r="D546">
        <v>4.9000000000000004</v>
      </c>
      <c r="E546">
        <v>0</v>
      </c>
      <c r="F546">
        <v>0</v>
      </c>
      <c r="G546">
        <v>0.2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t="s">
        <v>616</v>
      </c>
      <c r="Z546">
        <v>325</v>
      </c>
      <c r="AA546">
        <v>56</v>
      </c>
      <c r="AB546">
        <v>674</v>
      </c>
      <c r="AC546">
        <v>71</v>
      </c>
      <c r="AD546">
        <v>702</v>
      </c>
      <c r="AE546">
        <v>75</v>
      </c>
      <c r="AF546">
        <v>364</v>
      </c>
      <c r="AG546">
        <v>56</v>
      </c>
    </row>
    <row r="547" spans="1:39" hidden="1" x14ac:dyDescent="0.2">
      <c r="A547" t="s">
        <v>978</v>
      </c>
      <c r="B547" t="s">
        <v>153</v>
      </c>
      <c r="C547" t="s">
        <v>41</v>
      </c>
      <c r="D547">
        <v>5.5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t="s">
        <v>617</v>
      </c>
      <c r="Z547">
        <v>139</v>
      </c>
      <c r="AA547">
        <v>88</v>
      </c>
      <c r="AB547">
        <v>723</v>
      </c>
      <c r="AC547">
        <v>316</v>
      </c>
      <c r="AD547">
        <v>735</v>
      </c>
      <c r="AE547">
        <v>323</v>
      </c>
      <c r="AF547">
        <v>732</v>
      </c>
      <c r="AG547">
        <v>322</v>
      </c>
    </row>
    <row r="548" spans="1:39" hidden="1" x14ac:dyDescent="0.2">
      <c r="A548" t="s">
        <v>979</v>
      </c>
      <c r="B548" t="s">
        <v>37</v>
      </c>
      <c r="C548" t="s">
        <v>41</v>
      </c>
      <c r="D548">
        <v>5.4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t="s">
        <v>618</v>
      </c>
      <c r="Z548">
        <v>173</v>
      </c>
      <c r="AA548">
        <v>107</v>
      </c>
      <c r="AB548">
        <v>713</v>
      </c>
      <c r="AC548">
        <v>308</v>
      </c>
      <c r="AD548">
        <v>730</v>
      </c>
      <c r="AE548">
        <v>319</v>
      </c>
      <c r="AF548">
        <v>654</v>
      </c>
      <c r="AG548">
        <v>271</v>
      </c>
    </row>
    <row r="549" spans="1:39" hidden="1" x14ac:dyDescent="0.2">
      <c r="A549" t="s">
        <v>619</v>
      </c>
      <c r="B549" t="s">
        <v>153</v>
      </c>
      <c r="C549" t="s">
        <v>41</v>
      </c>
      <c r="D549">
        <v>4.5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t="s">
        <v>620</v>
      </c>
      <c r="Z549">
        <v>414</v>
      </c>
      <c r="AA549">
        <v>247</v>
      </c>
      <c r="AB549">
        <v>587</v>
      </c>
      <c r="AC549">
        <v>219</v>
      </c>
      <c r="AD549">
        <v>631</v>
      </c>
      <c r="AE549">
        <v>246</v>
      </c>
      <c r="AF549">
        <v>614</v>
      </c>
      <c r="AG549">
        <v>245</v>
      </c>
    </row>
    <row r="550" spans="1:39" x14ac:dyDescent="0.2">
      <c r="A550" t="s">
        <v>621</v>
      </c>
      <c r="B550" t="s">
        <v>153</v>
      </c>
      <c r="C550" t="s">
        <v>41</v>
      </c>
      <c r="D550">
        <v>4.4000000000000004</v>
      </c>
      <c r="E550">
        <v>0</v>
      </c>
      <c r="F550">
        <v>0</v>
      </c>
      <c r="G550">
        <v>1.4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 t="s">
        <v>1000</v>
      </c>
      <c r="Z550">
        <v>560</v>
      </c>
      <c r="AA550">
        <v>322</v>
      </c>
      <c r="AB550">
        <v>570</v>
      </c>
      <c r="AC550">
        <v>209</v>
      </c>
      <c r="AD550">
        <v>615</v>
      </c>
      <c r="AE550">
        <v>236</v>
      </c>
      <c r="AF550">
        <v>151</v>
      </c>
      <c r="AG550">
        <v>52</v>
      </c>
      <c r="AH550">
        <f>fpl_player_statistics_cleaned[[#This Row],[Total Points]] / fpl_player_statistics_cleaned[[#This Row],[Now Cost]]</f>
        <v>0</v>
      </c>
      <c r="AI550">
        <f>fpl_player_statistics_cleaned[[#This Row],[Goals Scored]] + fpl_player_statistics_cleaned[[#This Row],[Assists]]</f>
        <v>0</v>
      </c>
      <c r="AJ550" t="e">
        <f>fpl_player_statistics_cleaned[[#This Row],[Total Points]] / fpl_player_statistics_cleaned[[#This Row],[Starts]]</f>
        <v>#DIV/0!</v>
      </c>
      <c r="AK550">
        <f>((fpl_player_statistics_cleaned[[#This Row],[Points Per Game]]) * fpl_player_statistics_cleaned[[#This Row],[Form]]) / fpl_player_statistics_cleaned[[#This Row],[Now Cost]]</f>
        <v>0</v>
      </c>
      <c r="AL550" t="e">
        <f>fpl_player_statistics_cleaned[[#This Row],[Minutes]] / fpl_player_statistics_cleaned[[#This Row],[Total Points]]</f>
        <v>#DIV/0!</v>
      </c>
      <c r="AM55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51" spans="1:39" x14ac:dyDescent="0.2">
      <c r="A551" t="s">
        <v>622</v>
      </c>
      <c r="B551" t="s">
        <v>153</v>
      </c>
      <c r="C551" t="s">
        <v>41</v>
      </c>
      <c r="D551">
        <v>4.4000000000000004</v>
      </c>
      <c r="E551">
        <v>0</v>
      </c>
      <c r="F551">
        <v>0</v>
      </c>
      <c r="G551">
        <v>0.3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 t="s">
        <v>1000</v>
      </c>
      <c r="Z551">
        <v>561</v>
      </c>
      <c r="AA551">
        <v>323</v>
      </c>
      <c r="AB551">
        <v>571</v>
      </c>
      <c r="AC551">
        <v>210</v>
      </c>
      <c r="AD551">
        <v>616</v>
      </c>
      <c r="AE551">
        <v>237</v>
      </c>
      <c r="AF551">
        <v>288</v>
      </c>
      <c r="AG551">
        <v>101</v>
      </c>
      <c r="AH551">
        <f>fpl_player_statistics_cleaned[[#This Row],[Total Points]] / fpl_player_statistics_cleaned[[#This Row],[Now Cost]]</f>
        <v>0</v>
      </c>
      <c r="AI551">
        <f>fpl_player_statistics_cleaned[[#This Row],[Goals Scored]] + fpl_player_statistics_cleaned[[#This Row],[Assists]]</f>
        <v>0</v>
      </c>
      <c r="AJ551" t="e">
        <f>fpl_player_statistics_cleaned[[#This Row],[Total Points]] / fpl_player_statistics_cleaned[[#This Row],[Starts]]</f>
        <v>#DIV/0!</v>
      </c>
      <c r="AK551">
        <f>((fpl_player_statistics_cleaned[[#This Row],[Points Per Game]]) * fpl_player_statistics_cleaned[[#This Row],[Form]]) / fpl_player_statistics_cleaned[[#This Row],[Now Cost]]</f>
        <v>0</v>
      </c>
      <c r="AL551" t="e">
        <f>fpl_player_statistics_cleaned[[#This Row],[Minutes]] / fpl_player_statistics_cleaned[[#This Row],[Total Points]]</f>
        <v>#DIV/0!</v>
      </c>
      <c r="AM55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52" spans="1:39" x14ac:dyDescent="0.2">
      <c r="A552" t="s">
        <v>623</v>
      </c>
      <c r="B552" t="s">
        <v>153</v>
      </c>
      <c r="C552" t="s">
        <v>41</v>
      </c>
      <c r="D552">
        <v>4.4000000000000004</v>
      </c>
      <c r="E552">
        <v>0</v>
      </c>
      <c r="F552">
        <v>0</v>
      </c>
      <c r="G552">
        <v>0.3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 t="s">
        <v>1000</v>
      </c>
      <c r="Z552">
        <v>532</v>
      </c>
      <c r="AA552">
        <v>307</v>
      </c>
      <c r="AB552">
        <v>547</v>
      </c>
      <c r="AC552">
        <v>195</v>
      </c>
      <c r="AD552">
        <v>593</v>
      </c>
      <c r="AE552">
        <v>222</v>
      </c>
      <c r="AF552">
        <v>328</v>
      </c>
      <c r="AG552">
        <v>114</v>
      </c>
      <c r="AH552">
        <f>fpl_player_statistics_cleaned[[#This Row],[Total Points]] / fpl_player_statistics_cleaned[[#This Row],[Now Cost]]</f>
        <v>0</v>
      </c>
      <c r="AI552">
        <f>fpl_player_statistics_cleaned[[#This Row],[Goals Scored]] + fpl_player_statistics_cleaned[[#This Row],[Assists]]</f>
        <v>0</v>
      </c>
      <c r="AJ552" t="e">
        <f>fpl_player_statistics_cleaned[[#This Row],[Total Points]] / fpl_player_statistics_cleaned[[#This Row],[Starts]]</f>
        <v>#DIV/0!</v>
      </c>
      <c r="AK552">
        <f>((fpl_player_statistics_cleaned[[#This Row],[Points Per Game]]) * fpl_player_statistics_cleaned[[#This Row],[Form]]) / fpl_player_statistics_cleaned[[#This Row],[Now Cost]]</f>
        <v>0</v>
      </c>
      <c r="AL552" t="e">
        <f>fpl_player_statistics_cleaned[[#This Row],[Minutes]] / fpl_player_statistics_cleaned[[#This Row],[Total Points]]</f>
        <v>#DIV/0!</v>
      </c>
      <c r="AM55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53" spans="1:39" hidden="1" x14ac:dyDescent="0.2">
      <c r="A553" t="s">
        <v>624</v>
      </c>
      <c r="B553" t="s">
        <v>153</v>
      </c>
      <c r="C553" t="s">
        <v>41</v>
      </c>
      <c r="D553">
        <v>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 t="s">
        <v>625</v>
      </c>
      <c r="Z553">
        <v>271</v>
      </c>
      <c r="AA553">
        <v>167</v>
      </c>
      <c r="AB553">
        <v>688</v>
      </c>
      <c r="AC553">
        <v>292</v>
      </c>
      <c r="AD553">
        <v>714</v>
      </c>
      <c r="AE553">
        <v>309</v>
      </c>
      <c r="AF553">
        <v>745</v>
      </c>
      <c r="AG553">
        <v>330</v>
      </c>
    </row>
    <row r="554" spans="1:39" hidden="1" x14ac:dyDescent="0.2">
      <c r="A554" t="s">
        <v>626</v>
      </c>
      <c r="B554" t="s">
        <v>37</v>
      </c>
      <c r="C554" t="s">
        <v>41</v>
      </c>
      <c r="D554">
        <v>4.5</v>
      </c>
      <c r="E554">
        <v>0</v>
      </c>
      <c r="F554">
        <v>0</v>
      </c>
      <c r="G554">
        <v>0.1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 t="s">
        <v>627</v>
      </c>
      <c r="Z554">
        <v>470</v>
      </c>
      <c r="AA554">
        <v>283</v>
      </c>
      <c r="AB554">
        <v>627</v>
      </c>
      <c r="AC554">
        <v>251</v>
      </c>
      <c r="AD554">
        <v>670</v>
      </c>
      <c r="AE554">
        <v>277</v>
      </c>
      <c r="AF554">
        <v>438</v>
      </c>
      <c r="AG554">
        <v>151</v>
      </c>
    </row>
    <row r="555" spans="1:39" x14ac:dyDescent="0.2">
      <c r="A555" t="s">
        <v>628</v>
      </c>
      <c r="B555" t="s">
        <v>97</v>
      </c>
      <c r="C555" t="s">
        <v>38</v>
      </c>
      <c r="D555">
        <v>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 t="s">
        <v>1000</v>
      </c>
      <c r="Z555">
        <v>690</v>
      </c>
      <c r="AA555">
        <v>200</v>
      </c>
      <c r="AB555">
        <v>498</v>
      </c>
      <c r="AC555">
        <v>201</v>
      </c>
      <c r="AD555">
        <v>553</v>
      </c>
      <c r="AE555">
        <v>216</v>
      </c>
      <c r="AF555">
        <v>722</v>
      </c>
      <c r="AG555">
        <v>243</v>
      </c>
      <c r="AH555">
        <f>fpl_player_statistics_cleaned[[#This Row],[Total Points]] / fpl_player_statistics_cleaned[[#This Row],[Now Cost]]</f>
        <v>0</v>
      </c>
      <c r="AI555">
        <f>fpl_player_statistics_cleaned[[#This Row],[Goals Scored]] + fpl_player_statistics_cleaned[[#This Row],[Assists]]</f>
        <v>0</v>
      </c>
      <c r="AJ555" t="e">
        <f>fpl_player_statistics_cleaned[[#This Row],[Total Points]] / fpl_player_statistics_cleaned[[#This Row],[Starts]]</f>
        <v>#DIV/0!</v>
      </c>
      <c r="AK555">
        <f>((fpl_player_statistics_cleaned[[#This Row],[Points Per Game]]) * fpl_player_statistics_cleaned[[#This Row],[Form]]) / fpl_player_statistics_cleaned[[#This Row],[Now Cost]]</f>
        <v>0</v>
      </c>
      <c r="AL555" t="e">
        <f>fpl_player_statistics_cleaned[[#This Row],[Minutes]] / fpl_player_statistics_cleaned[[#This Row],[Total Points]]</f>
        <v>#DIV/0!</v>
      </c>
      <c r="AM55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56" spans="1:39" hidden="1" x14ac:dyDescent="0.2">
      <c r="A556" t="s">
        <v>629</v>
      </c>
      <c r="B556" t="s">
        <v>70</v>
      </c>
      <c r="C556" t="s">
        <v>41</v>
      </c>
      <c r="D556">
        <v>4.5</v>
      </c>
      <c r="E556">
        <v>0</v>
      </c>
      <c r="F556">
        <v>0</v>
      </c>
      <c r="G556">
        <v>0.1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 t="s">
        <v>630</v>
      </c>
      <c r="Z556">
        <v>398</v>
      </c>
      <c r="AA556">
        <v>243</v>
      </c>
      <c r="AB556">
        <v>579</v>
      </c>
      <c r="AC556">
        <v>215</v>
      </c>
      <c r="AD556">
        <v>624</v>
      </c>
      <c r="AE556">
        <v>242</v>
      </c>
      <c r="AF556">
        <v>476</v>
      </c>
      <c r="AG556">
        <v>162</v>
      </c>
    </row>
    <row r="557" spans="1:39" hidden="1" x14ac:dyDescent="0.2">
      <c r="A557" t="s">
        <v>631</v>
      </c>
      <c r="B557" t="s">
        <v>51</v>
      </c>
      <c r="C557" t="s">
        <v>35</v>
      </c>
      <c r="D557">
        <v>4.5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 t="s">
        <v>632</v>
      </c>
      <c r="Z557">
        <v>454</v>
      </c>
      <c r="AA557">
        <v>61</v>
      </c>
      <c r="AB557">
        <v>614</v>
      </c>
      <c r="AC557">
        <v>63</v>
      </c>
      <c r="AD557">
        <v>657</v>
      </c>
      <c r="AE557">
        <v>68</v>
      </c>
      <c r="AF557">
        <v>638</v>
      </c>
      <c r="AG557">
        <v>78</v>
      </c>
    </row>
    <row r="558" spans="1:39" hidden="1" x14ac:dyDescent="0.2">
      <c r="A558" t="s">
        <v>633</v>
      </c>
      <c r="B558" t="s">
        <v>65</v>
      </c>
      <c r="C558" t="s">
        <v>41</v>
      </c>
      <c r="D558">
        <v>4.4000000000000004</v>
      </c>
      <c r="E558">
        <v>0</v>
      </c>
      <c r="F558">
        <v>0</v>
      </c>
      <c r="G558">
        <v>2.1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 t="s">
        <v>634</v>
      </c>
      <c r="Z558">
        <v>519</v>
      </c>
      <c r="AA558">
        <v>300</v>
      </c>
      <c r="AB558">
        <v>540</v>
      </c>
      <c r="AC558">
        <v>189</v>
      </c>
      <c r="AD558">
        <v>587</v>
      </c>
      <c r="AE558">
        <v>216</v>
      </c>
      <c r="AF558">
        <v>124</v>
      </c>
      <c r="AG558">
        <v>42</v>
      </c>
    </row>
    <row r="559" spans="1:39" hidden="1" x14ac:dyDescent="0.2">
      <c r="A559" t="s">
        <v>635</v>
      </c>
      <c r="B559" t="s">
        <v>65</v>
      </c>
      <c r="C559" t="s">
        <v>41</v>
      </c>
      <c r="D559">
        <v>5.4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 t="s">
        <v>636</v>
      </c>
      <c r="Z559">
        <v>162</v>
      </c>
      <c r="AA559">
        <v>100</v>
      </c>
      <c r="AB559">
        <v>710</v>
      </c>
      <c r="AC559">
        <v>306</v>
      </c>
      <c r="AD559">
        <v>727</v>
      </c>
      <c r="AE559">
        <v>317</v>
      </c>
      <c r="AF559">
        <v>666</v>
      </c>
      <c r="AG559">
        <v>281</v>
      </c>
    </row>
    <row r="560" spans="1:39" x14ac:dyDescent="0.2">
      <c r="A560" t="s">
        <v>637</v>
      </c>
      <c r="B560" t="s">
        <v>65</v>
      </c>
      <c r="C560" t="s">
        <v>41</v>
      </c>
      <c r="D560">
        <v>4.8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 t="s">
        <v>1000</v>
      </c>
      <c r="Z560">
        <v>375</v>
      </c>
      <c r="AA560">
        <v>236</v>
      </c>
      <c r="AB560">
        <v>658</v>
      </c>
      <c r="AC560">
        <v>271</v>
      </c>
      <c r="AD560">
        <v>690</v>
      </c>
      <c r="AE560">
        <v>290</v>
      </c>
      <c r="AF560">
        <v>589</v>
      </c>
      <c r="AG560">
        <v>227</v>
      </c>
      <c r="AH560">
        <f>fpl_player_statistics_cleaned[[#This Row],[Total Points]] / fpl_player_statistics_cleaned[[#This Row],[Now Cost]]</f>
        <v>0</v>
      </c>
      <c r="AI560">
        <f>fpl_player_statistics_cleaned[[#This Row],[Goals Scored]] + fpl_player_statistics_cleaned[[#This Row],[Assists]]</f>
        <v>0</v>
      </c>
      <c r="AJ560" t="e">
        <f>fpl_player_statistics_cleaned[[#This Row],[Total Points]] / fpl_player_statistics_cleaned[[#This Row],[Starts]]</f>
        <v>#DIV/0!</v>
      </c>
      <c r="AK560">
        <f>((fpl_player_statistics_cleaned[[#This Row],[Points Per Game]]) * fpl_player_statistics_cleaned[[#This Row],[Form]]) / fpl_player_statistics_cleaned[[#This Row],[Now Cost]]</f>
        <v>0</v>
      </c>
      <c r="AL560" t="e">
        <f>fpl_player_statistics_cleaned[[#This Row],[Minutes]] / fpl_player_statistics_cleaned[[#This Row],[Total Points]]</f>
        <v>#DIV/0!</v>
      </c>
      <c r="AM56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61" spans="1:39" hidden="1" x14ac:dyDescent="0.2">
      <c r="A561" t="s">
        <v>638</v>
      </c>
      <c r="B561" t="s">
        <v>65</v>
      </c>
      <c r="C561" t="s">
        <v>41</v>
      </c>
      <c r="D561">
        <v>4.9000000000000004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 t="s">
        <v>980</v>
      </c>
      <c r="Z561">
        <v>316</v>
      </c>
      <c r="AA561">
        <v>199</v>
      </c>
      <c r="AB561">
        <v>667</v>
      </c>
      <c r="AC561">
        <v>277</v>
      </c>
      <c r="AD561">
        <v>697</v>
      </c>
      <c r="AE561">
        <v>295</v>
      </c>
      <c r="AF561">
        <v>679</v>
      </c>
      <c r="AG561">
        <v>289</v>
      </c>
    </row>
    <row r="562" spans="1:39" hidden="1" x14ac:dyDescent="0.2">
      <c r="A562" t="s">
        <v>639</v>
      </c>
      <c r="B562" t="s">
        <v>97</v>
      </c>
      <c r="C562" t="s">
        <v>38</v>
      </c>
      <c r="D562">
        <v>4.4000000000000004</v>
      </c>
      <c r="E562">
        <v>0</v>
      </c>
      <c r="F562">
        <v>0</v>
      </c>
      <c r="G562">
        <v>0.1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 t="s">
        <v>425</v>
      </c>
      <c r="Z562">
        <v>495</v>
      </c>
      <c r="AA562">
        <v>106</v>
      </c>
      <c r="AB562">
        <v>529</v>
      </c>
      <c r="AC562">
        <v>217</v>
      </c>
      <c r="AD562">
        <v>577</v>
      </c>
      <c r="AE562">
        <v>228</v>
      </c>
      <c r="AF562">
        <v>539</v>
      </c>
      <c r="AG562">
        <v>194</v>
      </c>
    </row>
    <row r="563" spans="1:39" hidden="1" x14ac:dyDescent="0.2">
      <c r="A563" t="s">
        <v>640</v>
      </c>
      <c r="B563" t="s">
        <v>65</v>
      </c>
      <c r="C563" t="s">
        <v>41</v>
      </c>
      <c r="D563">
        <v>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 t="s">
        <v>641</v>
      </c>
      <c r="Z563">
        <v>273</v>
      </c>
      <c r="AA563">
        <v>168</v>
      </c>
      <c r="AB563">
        <v>690</v>
      </c>
      <c r="AC563">
        <v>293</v>
      </c>
      <c r="AD563">
        <v>716</v>
      </c>
      <c r="AE563">
        <v>310</v>
      </c>
      <c r="AF563">
        <v>690</v>
      </c>
      <c r="AG563">
        <v>295</v>
      </c>
    </row>
    <row r="564" spans="1:39" x14ac:dyDescent="0.2">
      <c r="A564" t="s">
        <v>981</v>
      </c>
      <c r="B564" t="s">
        <v>97</v>
      </c>
      <c r="C564" t="s">
        <v>55</v>
      </c>
      <c r="D564">
        <v>3.9</v>
      </c>
      <c r="E564">
        <v>0</v>
      </c>
      <c r="F564">
        <v>0</v>
      </c>
      <c r="G564">
        <v>0.2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 t="s">
        <v>1000</v>
      </c>
      <c r="Z564">
        <v>720</v>
      </c>
      <c r="AA564">
        <v>82</v>
      </c>
      <c r="AB564">
        <v>408</v>
      </c>
      <c r="AC564">
        <v>30</v>
      </c>
      <c r="AD564">
        <v>466</v>
      </c>
      <c r="AE564">
        <v>37</v>
      </c>
      <c r="AF564">
        <v>351</v>
      </c>
      <c r="AG564">
        <v>52</v>
      </c>
      <c r="AH564">
        <f>fpl_player_statistics_cleaned[[#This Row],[Total Points]] / fpl_player_statistics_cleaned[[#This Row],[Now Cost]]</f>
        <v>0</v>
      </c>
      <c r="AI564">
        <f>fpl_player_statistics_cleaned[[#This Row],[Goals Scored]] + fpl_player_statistics_cleaned[[#This Row],[Assists]]</f>
        <v>0</v>
      </c>
      <c r="AJ564" t="e">
        <f>fpl_player_statistics_cleaned[[#This Row],[Total Points]] / fpl_player_statistics_cleaned[[#This Row],[Starts]]</f>
        <v>#DIV/0!</v>
      </c>
      <c r="AK564">
        <f>((fpl_player_statistics_cleaned[[#This Row],[Points Per Game]]) * fpl_player_statistics_cleaned[[#This Row],[Form]]) / fpl_player_statistics_cleaned[[#This Row],[Now Cost]]</f>
        <v>0</v>
      </c>
      <c r="AL564" t="e">
        <f>fpl_player_statistics_cleaned[[#This Row],[Minutes]] / fpl_player_statistics_cleaned[[#This Row],[Total Points]]</f>
        <v>#DIV/0!</v>
      </c>
      <c r="AM56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65" spans="1:39" hidden="1" x14ac:dyDescent="0.2">
      <c r="A565" t="s">
        <v>642</v>
      </c>
      <c r="B565" t="s">
        <v>97</v>
      </c>
      <c r="C565" t="s">
        <v>55</v>
      </c>
      <c r="D565">
        <v>4</v>
      </c>
      <c r="E565">
        <v>0</v>
      </c>
      <c r="F565">
        <v>0</v>
      </c>
      <c r="G565">
        <v>0.3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 t="s">
        <v>643</v>
      </c>
      <c r="Z565">
        <v>621</v>
      </c>
      <c r="AA565">
        <v>44</v>
      </c>
      <c r="AB565">
        <v>438</v>
      </c>
      <c r="AC565">
        <v>38</v>
      </c>
      <c r="AD565">
        <v>495</v>
      </c>
      <c r="AE565">
        <v>45</v>
      </c>
      <c r="AF565">
        <v>304</v>
      </c>
      <c r="AG565">
        <v>43</v>
      </c>
    </row>
    <row r="566" spans="1:39" hidden="1" x14ac:dyDescent="0.2">
      <c r="A566" t="s">
        <v>644</v>
      </c>
      <c r="B566" t="s">
        <v>65</v>
      </c>
      <c r="C566" t="s">
        <v>41</v>
      </c>
      <c r="D566">
        <v>4.5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 t="s">
        <v>645</v>
      </c>
      <c r="Z566">
        <v>465</v>
      </c>
      <c r="AA566">
        <v>280</v>
      </c>
      <c r="AB566">
        <v>623</v>
      </c>
      <c r="AC566">
        <v>249</v>
      </c>
      <c r="AD566">
        <v>666</v>
      </c>
      <c r="AE566">
        <v>275</v>
      </c>
      <c r="AF566">
        <v>704</v>
      </c>
      <c r="AG566">
        <v>304</v>
      </c>
    </row>
    <row r="567" spans="1:39" hidden="1" x14ac:dyDescent="0.2">
      <c r="A567" t="s">
        <v>646</v>
      </c>
      <c r="B567" t="s">
        <v>65</v>
      </c>
      <c r="C567" t="s">
        <v>38</v>
      </c>
      <c r="D567">
        <v>4</v>
      </c>
      <c r="E567">
        <v>0</v>
      </c>
      <c r="F567">
        <v>0</v>
      </c>
      <c r="G567">
        <v>0.1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 t="s">
        <v>378</v>
      </c>
      <c r="Z567">
        <v>641</v>
      </c>
      <c r="AA567">
        <v>168</v>
      </c>
      <c r="AB567">
        <v>457</v>
      </c>
      <c r="AC567">
        <v>177</v>
      </c>
      <c r="AD567">
        <v>514</v>
      </c>
      <c r="AE567">
        <v>194</v>
      </c>
      <c r="AF567">
        <v>517</v>
      </c>
      <c r="AG567">
        <v>188</v>
      </c>
    </row>
    <row r="568" spans="1:39" x14ac:dyDescent="0.2">
      <c r="A568" t="s">
        <v>647</v>
      </c>
      <c r="B568" t="s">
        <v>51</v>
      </c>
      <c r="C568" t="s">
        <v>41</v>
      </c>
      <c r="D568">
        <v>4.5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 t="s">
        <v>1000</v>
      </c>
      <c r="Z568">
        <v>471</v>
      </c>
      <c r="AA568">
        <v>284</v>
      </c>
      <c r="AB568">
        <v>628</v>
      </c>
      <c r="AC568">
        <v>252</v>
      </c>
      <c r="AD568">
        <v>671</v>
      </c>
      <c r="AE568">
        <v>278</v>
      </c>
      <c r="AF568">
        <v>752</v>
      </c>
      <c r="AG568">
        <v>334</v>
      </c>
      <c r="AH568">
        <f>fpl_player_statistics_cleaned[[#This Row],[Total Points]] / fpl_player_statistics_cleaned[[#This Row],[Now Cost]]</f>
        <v>0</v>
      </c>
      <c r="AI568">
        <f>fpl_player_statistics_cleaned[[#This Row],[Goals Scored]] + fpl_player_statistics_cleaned[[#This Row],[Assists]]</f>
        <v>0</v>
      </c>
      <c r="AJ568" t="e">
        <f>fpl_player_statistics_cleaned[[#This Row],[Total Points]] / fpl_player_statistics_cleaned[[#This Row],[Starts]]</f>
        <v>#DIV/0!</v>
      </c>
      <c r="AK568">
        <f>((fpl_player_statistics_cleaned[[#This Row],[Points Per Game]]) * fpl_player_statistics_cleaned[[#This Row],[Form]]) / fpl_player_statistics_cleaned[[#This Row],[Now Cost]]</f>
        <v>0</v>
      </c>
      <c r="AL568" t="e">
        <f>fpl_player_statistics_cleaned[[#This Row],[Minutes]] / fpl_player_statistics_cleaned[[#This Row],[Total Points]]</f>
        <v>#DIV/0!</v>
      </c>
      <c r="AM56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69" spans="1:39" x14ac:dyDescent="0.2">
      <c r="A569" t="s">
        <v>648</v>
      </c>
      <c r="B569" t="s">
        <v>51</v>
      </c>
      <c r="C569" t="s">
        <v>38</v>
      </c>
      <c r="D569">
        <v>4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 t="s">
        <v>1000</v>
      </c>
      <c r="Z569">
        <v>667</v>
      </c>
      <c r="AA569">
        <v>184</v>
      </c>
      <c r="AB569">
        <v>476</v>
      </c>
      <c r="AC569">
        <v>186</v>
      </c>
      <c r="AD569">
        <v>533</v>
      </c>
      <c r="AE569">
        <v>203</v>
      </c>
      <c r="AF569">
        <v>748</v>
      </c>
      <c r="AG569">
        <v>247</v>
      </c>
      <c r="AH569">
        <f>fpl_player_statistics_cleaned[[#This Row],[Total Points]] / fpl_player_statistics_cleaned[[#This Row],[Now Cost]]</f>
        <v>0</v>
      </c>
      <c r="AI569">
        <f>fpl_player_statistics_cleaned[[#This Row],[Goals Scored]] + fpl_player_statistics_cleaned[[#This Row],[Assists]]</f>
        <v>0</v>
      </c>
      <c r="AJ569" t="e">
        <f>fpl_player_statistics_cleaned[[#This Row],[Total Points]] / fpl_player_statistics_cleaned[[#This Row],[Starts]]</f>
        <v>#DIV/0!</v>
      </c>
      <c r="AK569">
        <f>((fpl_player_statistics_cleaned[[#This Row],[Points Per Game]]) * fpl_player_statistics_cleaned[[#This Row],[Form]]) / fpl_player_statistics_cleaned[[#This Row],[Now Cost]]</f>
        <v>0</v>
      </c>
      <c r="AL569" t="e">
        <f>fpl_player_statistics_cleaned[[#This Row],[Minutes]] / fpl_player_statistics_cleaned[[#This Row],[Total Points]]</f>
        <v>#DIV/0!</v>
      </c>
      <c r="AM56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70" spans="1:39" x14ac:dyDescent="0.2">
      <c r="A570" t="s">
        <v>649</v>
      </c>
      <c r="B570" t="s">
        <v>51</v>
      </c>
      <c r="C570" t="s">
        <v>38</v>
      </c>
      <c r="D570">
        <v>4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 t="s">
        <v>1000</v>
      </c>
      <c r="Z570">
        <v>693</v>
      </c>
      <c r="AA570">
        <v>203</v>
      </c>
      <c r="AB570">
        <v>501</v>
      </c>
      <c r="AC570">
        <v>204</v>
      </c>
      <c r="AD570">
        <v>556</v>
      </c>
      <c r="AE570">
        <v>219</v>
      </c>
      <c r="AF570">
        <v>689</v>
      </c>
      <c r="AG570">
        <v>235</v>
      </c>
      <c r="AH570">
        <f>fpl_player_statistics_cleaned[[#This Row],[Total Points]] / fpl_player_statistics_cleaned[[#This Row],[Now Cost]]</f>
        <v>0</v>
      </c>
      <c r="AI570">
        <f>fpl_player_statistics_cleaned[[#This Row],[Goals Scored]] + fpl_player_statistics_cleaned[[#This Row],[Assists]]</f>
        <v>0</v>
      </c>
      <c r="AJ570" t="e">
        <f>fpl_player_statistics_cleaned[[#This Row],[Total Points]] / fpl_player_statistics_cleaned[[#This Row],[Starts]]</f>
        <v>#DIV/0!</v>
      </c>
      <c r="AK570">
        <f>((fpl_player_statistics_cleaned[[#This Row],[Points Per Game]]) * fpl_player_statistics_cleaned[[#This Row],[Form]]) / fpl_player_statistics_cleaned[[#This Row],[Now Cost]]</f>
        <v>0</v>
      </c>
      <c r="AL570" t="e">
        <f>fpl_player_statistics_cleaned[[#This Row],[Minutes]] / fpl_player_statistics_cleaned[[#This Row],[Total Points]]</f>
        <v>#DIV/0!</v>
      </c>
      <c r="AM57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71" spans="1:39" x14ac:dyDescent="0.2">
      <c r="A571" t="s">
        <v>650</v>
      </c>
      <c r="B571" t="s">
        <v>65</v>
      </c>
      <c r="C571" t="s">
        <v>41</v>
      </c>
      <c r="D571">
        <v>4.5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 t="s">
        <v>1000</v>
      </c>
      <c r="Z571">
        <v>452</v>
      </c>
      <c r="AA571">
        <v>272</v>
      </c>
      <c r="AB571">
        <v>613</v>
      </c>
      <c r="AC571">
        <v>243</v>
      </c>
      <c r="AD571">
        <v>656</v>
      </c>
      <c r="AE571">
        <v>269</v>
      </c>
      <c r="AF571">
        <v>583</v>
      </c>
      <c r="AG571">
        <v>221</v>
      </c>
      <c r="AH571">
        <f>fpl_player_statistics_cleaned[[#This Row],[Total Points]] / fpl_player_statistics_cleaned[[#This Row],[Now Cost]]</f>
        <v>0</v>
      </c>
      <c r="AI571">
        <f>fpl_player_statistics_cleaned[[#This Row],[Goals Scored]] + fpl_player_statistics_cleaned[[#This Row],[Assists]]</f>
        <v>0</v>
      </c>
      <c r="AJ571" t="e">
        <f>fpl_player_statistics_cleaned[[#This Row],[Total Points]] / fpl_player_statistics_cleaned[[#This Row],[Starts]]</f>
        <v>#DIV/0!</v>
      </c>
      <c r="AK571">
        <f>((fpl_player_statistics_cleaned[[#This Row],[Points Per Game]]) * fpl_player_statistics_cleaned[[#This Row],[Form]]) / fpl_player_statistics_cleaned[[#This Row],[Now Cost]]</f>
        <v>0</v>
      </c>
      <c r="AL571" t="e">
        <f>fpl_player_statistics_cleaned[[#This Row],[Minutes]] / fpl_player_statistics_cleaned[[#This Row],[Total Points]]</f>
        <v>#DIV/0!</v>
      </c>
      <c r="AM57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72" spans="1:39" x14ac:dyDescent="0.2">
      <c r="A572" t="s">
        <v>982</v>
      </c>
      <c r="B572" t="s">
        <v>65</v>
      </c>
      <c r="C572" t="s">
        <v>41</v>
      </c>
      <c r="D572">
        <v>4.4000000000000004</v>
      </c>
      <c r="E572">
        <v>0</v>
      </c>
      <c r="F572">
        <v>0</v>
      </c>
      <c r="G572">
        <v>0.1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 t="s">
        <v>1000</v>
      </c>
      <c r="Z572">
        <v>516</v>
      </c>
      <c r="AA572">
        <v>299</v>
      </c>
      <c r="AB572">
        <v>538</v>
      </c>
      <c r="AC572">
        <v>188</v>
      </c>
      <c r="AD572">
        <v>585</v>
      </c>
      <c r="AE572">
        <v>215</v>
      </c>
      <c r="AF572">
        <v>506</v>
      </c>
      <c r="AG572">
        <v>179</v>
      </c>
      <c r="AH572">
        <f>fpl_player_statistics_cleaned[[#This Row],[Total Points]] / fpl_player_statistics_cleaned[[#This Row],[Now Cost]]</f>
        <v>0</v>
      </c>
      <c r="AI572">
        <f>fpl_player_statistics_cleaned[[#This Row],[Goals Scored]] + fpl_player_statistics_cleaned[[#This Row],[Assists]]</f>
        <v>0</v>
      </c>
      <c r="AJ572" t="e">
        <f>fpl_player_statistics_cleaned[[#This Row],[Total Points]] / fpl_player_statistics_cleaned[[#This Row],[Starts]]</f>
        <v>#DIV/0!</v>
      </c>
      <c r="AK572">
        <f>((fpl_player_statistics_cleaned[[#This Row],[Points Per Game]]) * fpl_player_statistics_cleaned[[#This Row],[Form]]) / fpl_player_statistics_cleaned[[#This Row],[Now Cost]]</f>
        <v>0</v>
      </c>
      <c r="AL572" t="e">
        <f>fpl_player_statistics_cleaned[[#This Row],[Minutes]] / fpl_player_statistics_cleaned[[#This Row],[Total Points]]</f>
        <v>#DIV/0!</v>
      </c>
      <c r="AM57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73" spans="1:39" hidden="1" x14ac:dyDescent="0.2">
      <c r="A573" t="s">
        <v>651</v>
      </c>
      <c r="B573" t="s">
        <v>65</v>
      </c>
      <c r="C573" t="s">
        <v>35</v>
      </c>
      <c r="D573">
        <v>4.8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 t="s">
        <v>429</v>
      </c>
      <c r="Z573">
        <v>372</v>
      </c>
      <c r="AA573">
        <v>58</v>
      </c>
      <c r="AB573">
        <v>656</v>
      </c>
      <c r="AC573">
        <v>68</v>
      </c>
      <c r="AD573">
        <v>689</v>
      </c>
      <c r="AE573">
        <v>73</v>
      </c>
      <c r="AF573">
        <v>648</v>
      </c>
      <c r="AG573">
        <v>79</v>
      </c>
    </row>
    <row r="574" spans="1:39" x14ac:dyDescent="0.2">
      <c r="A574" t="s">
        <v>652</v>
      </c>
      <c r="B574" t="s">
        <v>54</v>
      </c>
      <c r="C574" t="s">
        <v>55</v>
      </c>
      <c r="D574">
        <v>3.9</v>
      </c>
      <c r="E574">
        <v>0</v>
      </c>
      <c r="F574">
        <v>0</v>
      </c>
      <c r="G574">
        <v>0.1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 t="s">
        <v>1000</v>
      </c>
      <c r="Z574">
        <v>722</v>
      </c>
      <c r="AA574">
        <v>84</v>
      </c>
      <c r="AB574">
        <v>410</v>
      </c>
      <c r="AC574">
        <v>32</v>
      </c>
      <c r="AD574">
        <v>468</v>
      </c>
      <c r="AE574">
        <v>39</v>
      </c>
      <c r="AF574">
        <v>421</v>
      </c>
      <c r="AG574">
        <v>65</v>
      </c>
      <c r="AH574">
        <f>fpl_player_statistics_cleaned[[#This Row],[Total Points]] / fpl_player_statistics_cleaned[[#This Row],[Now Cost]]</f>
        <v>0</v>
      </c>
      <c r="AI574">
        <f>fpl_player_statistics_cleaned[[#This Row],[Goals Scored]] + fpl_player_statistics_cleaned[[#This Row],[Assists]]</f>
        <v>0</v>
      </c>
      <c r="AJ574" t="e">
        <f>fpl_player_statistics_cleaned[[#This Row],[Total Points]] / fpl_player_statistics_cleaned[[#This Row],[Starts]]</f>
        <v>#DIV/0!</v>
      </c>
      <c r="AK574">
        <f>((fpl_player_statistics_cleaned[[#This Row],[Points Per Game]]) * fpl_player_statistics_cleaned[[#This Row],[Form]]) / fpl_player_statistics_cleaned[[#This Row],[Now Cost]]</f>
        <v>0</v>
      </c>
      <c r="AL574" t="e">
        <f>fpl_player_statistics_cleaned[[#This Row],[Minutes]] / fpl_player_statistics_cleaned[[#This Row],[Total Points]]</f>
        <v>#DIV/0!</v>
      </c>
      <c r="AM57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75" spans="1:39" hidden="1" x14ac:dyDescent="0.2">
      <c r="A575" t="s">
        <v>653</v>
      </c>
      <c r="B575" t="s">
        <v>65</v>
      </c>
      <c r="C575" t="s">
        <v>38</v>
      </c>
      <c r="D575">
        <v>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 t="s">
        <v>654</v>
      </c>
      <c r="Z575">
        <v>647</v>
      </c>
      <c r="AA575">
        <v>172</v>
      </c>
      <c r="AB575">
        <v>461</v>
      </c>
      <c r="AC575">
        <v>179</v>
      </c>
      <c r="AD575">
        <v>518</v>
      </c>
      <c r="AE575">
        <v>196</v>
      </c>
      <c r="AF575">
        <v>574</v>
      </c>
      <c r="AG575">
        <v>209</v>
      </c>
    </row>
    <row r="576" spans="1:39" hidden="1" x14ac:dyDescent="0.2">
      <c r="A576" t="s">
        <v>655</v>
      </c>
      <c r="B576" t="s">
        <v>97</v>
      </c>
      <c r="C576" t="s">
        <v>38</v>
      </c>
      <c r="D576">
        <v>4</v>
      </c>
      <c r="E576">
        <v>0</v>
      </c>
      <c r="F576">
        <v>0</v>
      </c>
      <c r="G576">
        <v>0.1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 t="s">
        <v>656</v>
      </c>
      <c r="Z576">
        <v>672</v>
      </c>
      <c r="AA576">
        <v>188</v>
      </c>
      <c r="AB576">
        <v>480</v>
      </c>
      <c r="AC576">
        <v>189</v>
      </c>
      <c r="AD576">
        <v>537</v>
      </c>
      <c r="AE576">
        <v>206</v>
      </c>
      <c r="AF576">
        <v>495</v>
      </c>
      <c r="AG576">
        <v>180</v>
      </c>
    </row>
    <row r="577" spans="1:39" x14ac:dyDescent="0.2">
      <c r="A577" t="s">
        <v>657</v>
      </c>
      <c r="B577" t="s">
        <v>70</v>
      </c>
      <c r="C577" t="s">
        <v>41</v>
      </c>
      <c r="D577">
        <v>4.5</v>
      </c>
      <c r="E577">
        <v>0</v>
      </c>
      <c r="F577">
        <v>0</v>
      </c>
      <c r="G577">
        <v>0.1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 t="s">
        <v>1000</v>
      </c>
      <c r="Z577">
        <v>457</v>
      </c>
      <c r="AA577">
        <v>275</v>
      </c>
      <c r="AB577">
        <v>616</v>
      </c>
      <c r="AC577">
        <v>245</v>
      </c>
      <c r="AD577">
        <v>659</v>
      </c>
      <c r="AE577">
        <v>271</v>
      </c>
      <c r="AF577">
        <v>532</v>
      </c>
      <c r="AG577">
        <v>191</v>
      </c>
      <c r="AH577">
        <f>fpl_player_statistics_cleaned[[#This Row],[Total Points]] / fpl_player_statistics_cleaned[[#This Row],[Now Cost]]</f>
        <v>0</v>
      </c>
      <c r="AI577">
        <f>fpl_player_statistics_cleaned[[#This Row],[Goals Scored]] + fpl_player_statistics_cleaned[[#This Row],[Assists]]</f>
        <v>0</v>
      </c>
      <c r="AJ577" t="e">
        <f>fpl_player_statistics_cleaned[[#This Row],[Total Points]] / fpl_player_statistics_cleaned[[#This Row],[Starts]]</f>
        <v>#DIV/0!</v>
      </c>
      <c r="AK577">
        <f>((fpl_player_statistics_cleaned[[#This Row],[Points Per Game]]) * fpl_player_statistics_cleaned[[#This Row],[Form]]) / fpl_player_statistics_cleaned[[#This Row],[Now Cost]]</f>
        <v>0</v>
      </c>
      <c r="AL577" t="e">
        <f>fpl_player_statistics_cleaned[[#This Row],[Minutes]] / fpl_player_statistics_cleaned[[#This Row],[Total Points]]</f>
        <v>#DIV/0!</v>
      </c>
      <c r="AM57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78" spans="1:39" x14ac:dyDescent="0.2">
      <c r="A578" t="s">
        <v>658</v>
      </c>
      <c r="B578" t="s">
        <v>65</v>
      </c>
      <c r="C578" t="s">
        <v>55</v>
      </c>
      <c r="D578">
        <v>4.4000000000000004</v>
      </c>
      <c r="E578">
        <v>0</v>
      </c>
      <c r="F578">
        <v>0</v>
      </c>
      <c r="G578">
        <v>0.1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 t="s">
        <v>1000</v>
      </c>
      <c r="Z578">
        <v>539</v>
      </c>
      <c r="AA578">
        <v>30</v>
      </c>
      <c r="AB578">
        <v>553</v>
      </c>
      <c r="AC578">
        <v>77</v>
      </c>
      <c r="AD578">
        <v>598</v>
      </c>
      <c r="AE578">
        <v>80</v>
      </c>
      <c r="AF578">
        <v>436</v>
      </c>
      <c r="AG578">
        <v>67</v>
      </c>
      <c r="AH578">
        <f>fpl_player_statistics_cleaned[[#This Row],[Total Points]] / fpl_player_statistics_cleaned[[#This Row],[Now Cost]]</f>
        <v>0</v>
      </c>
      <c r="AI578">
        <f>fpl_player_statistics_cleaned[[#This Row],[Goals Scored]] + fpl_player_statistics_cleaned[[#This Row],[Assists]]</f>
        <v>0</v>
      </c>
      <c r="AJ578" t="e">
        <f>fpl_player_statistics_cleaned[[#This Row],[Total Points]] / fpl_player_statistics_cleaned[[#This Row],[Starts]]</f>
        <v>#DIV/0!</v>
      </c>
      <c r="AK578">
        <f>((fpl_player_statistics_cleaned[[#This Row],[Points Per Game]]) * fpl_player_statistics_cleaned[[#This Row],[Form]]) / fpl_player_statistics_cleaned[[#This Row],[Now Cost]]</f>
        <v>0</v>
      </c>
      <c r="AL578" t="e">
        <f>fpl_player_statistics_cleaned[[#This Row],[Minutes]] / fpl_player_statistics_cleaned[[#This Row],[Total Points]]</f>
        <v>#DIV/0!</v>
      </c>
      <c r="AM57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79" spans="1:39" x14ac:dyDescent="0.2">
      <c r="A579" t="s">
        <v>659</v>
      </c>
      <c r="B579" t="s">
        <v>70</v>
      </c>
      <c r="C579" t="s">
        <v>41</v>
      </c>
      <c r="D579">
        <v>4.4000000000000004</v>
      </c>
      <c r="E579">
        <v>0</v>
      </c>
      <c r="F579">
        <v>0</v>
      </c>
      <c r="G579">
        <v>0.6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 t="s">
        <v>1000</v>
      </c>
      <c r="Z579">
        <v>546</v>
      </c>
      <c r="AA579">
        <v>313</v>
      </c>
      <c r="AB579">
        <v>559</v>
      </c>
      <c r="AC579">
        <v>201</v>
      </c>
      <c r="AD579">
        <v>604</v>
      </c>
      <c r="AE579">
        <v>228</v>
      </c>
      <c r="AF579">
        <v>222</v>
      </c>
      <c r="AG579">
        <v>76</v>
      </c>
      <c r="AH579">
        <f>fpl_player_statistics_cleaned[[#This Row],[Total Points]] / fpl_player_statistics_cleaned[[#This Row],[Now Cost]]</f>
        <v>0</v>
      </c>
      <c r="AI579">
        <f>fpl_player_statistics_cleaned[[#This Row],[Goals Scored]] + fpl_player_statistics_cleaned[[#This Row],[Assists]]</f>
        <v>0</v>
      </c>
      <c r="AJ579" t="e">
        <f>fpl_player_statistics_cleaned[[#This Row],[Total Points]] / fpl_player_statistics_cleaned[[#This Row],[Starts]]</f>
        <v>#DIV/0!</v>
      </c>
      <c r="AK579">
        <f>((fpl_player_statistics_cleaned[[#This Row],[Points Per Game]]) * fpl_player_statistics_cleaned[[#This Row],[Form]]) / fpl_player_statistics_cleaned[[#This Row],[Now Cost]]</f>
        <v>0</v>
      </c>
      <c r="AL579" t="e">
        <f>fpl_player_statistics_cleaned[[#This Row],[Minutes]] / fpl_player_statistics_cleaned[[#This Row],[Total Points]]</f>
        <v>#DIV/0!</v>
      </c>
      <c r="AM57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80" spans="1:39" hidden="1" x14ac:dyDescent="0.2">
      <c r="A580" t="s">
        <v>983</v>
      </c>
      <c r="B580" t="s">
        <v>70</v>
      </c>
      <c r="C580" t="s">
        <v>35</v>
      </c>
      <c r="D580">
        <v>4.5</v>
      </c>
      <c r="E580">
        <v>0</v>
      </c>
      <c r="F580">
        <v>0</v>
      </c>
      <c r="G580">
        <v>0.4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 t="s">
        <v>660</v>
      </c>
      <c r="Z580">
        <v>466</v>
      </c>
      <c r="AA580">
        <v>63</v>
      </c>
      <c r="AB580">
        <v>624</v>
      </c>
      <c r="AC580">
        <v>65</v>
      </c>
      <c r="AD580">
        <v>667</v>
      </c>
      <c r="AE580">
        <v>70</v>
      </c>
      <c r="AF580">
        <v>283</v>
      </c>
      <c r="AG580">
        <v>44</v>
      </c>
    </row>
    <row r="581" spans="1:39" x14ac:dyDescent="0.2">
      <c r="A581" t="s">
        <v>661</v>
      </c>
      <c r="B581" t="s">
        <v>70</v>
      </c>
      <c r="C581" t="s">
        <v>55</v>
      </c>
      <c r="D581">
        <v>4</v>
      </c>
      <c r="E581">
        <v>0</v>
      </c>
      <c r="F581">
        <v>0</v>
      </c>
      <c r="G581">
        <v>0.5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 t="s">
        <v>1000</v>
      </c>
      <c r="Z581">
        <v>661</v>
      </c>
      <c r="AA581">
        <v>64</v>
      </c>
      <c r="AB581">
        <v>471</v>
      </c>
      <c r="AC581">
        <v>58</v>
      </c>
      <c r="AD581">
        <v>528</v>
      </c>
      <c r="AE581">
        <v>65</v>
      </c>
      <c r="AF581">
        <v>238</v>
      </c>
      <c r="AG581">
        <v>32</v>
      </c>
      <c r="AH581">
        <f>fpl_player_statistics_cleaned[[#This Row],[Total Points]] / fpl_player_statistics_cleaned[[#This Row],[Now Cost]]</f>
        <v>0</v>
      </c>
      <c r="AI581">
        <f>fpl_player_statistics_cleaned[[#This Row],[Goals Scored]] + fpl_player_statistics_cleaned[[#This Row],[Assists]]</f>
        <v>0</v>
      </c>
      <c r="AJ581" t="e">
        <f>fpl_player_statistics_cleaned[[#This Row],[Total Points]] / fpl_player_statistics_cleaned[[#This Row],[Starts]]</f>
        <v>#DIV/0!</v>
      </c>
      <c r="AK581">
        <f>((fpl_player_statistics_cleaned[[#This Row],[Points Per Game]]) * fpl_player_statistics_cleaned[[#This Row],[Form]]) / fpl_player_statistics_cleaned[[#This Row],[Now Cost]]</f>
        <v>0</v>
      </c>
      <c r="AL581" t="e">
        <f>fpl_player_statistics_cleaned[[#This Row],[Minutes]] / fpl_player_statistics_cleaned[[#This Row],[Total Points]]</f>
        <v>#DIV/0!</v>
      </c>
      <c r="AM58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82" spans="1:39" hidden="1" x14ac:dyDescent="0.2">
      <c r="A582" t="s">
        <v>662</v>
      </c>
      <c r="B582" t="s">
        <v>70</v>
      </c>
      <c r="C582" t="s">
        <v>38</v>
      </c>
      <c r="D582">
        <v>4</v>
      </c>
      <c r="E582">
        <v>0</v>
      </c>
      <c r="F582">
        <v>0</v>
      </c>
      <c r="G582">
        <v>0.1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 t="s">
        <v>663</v>
      </c>
      <c r="Z582">
        <v>683</v>
      </c>
      <c r="AA582">
        <v>194</v>
      </c>
      <c r="AB582">
        <v>491</v>
      </c>
      <c r="AC582">
        <v>195</v>
      </c>
      <c r="AD582">
        <v>547</v>
      </c>
      <c r="AE582">
        <v>211</v>
      </c>
      <c r="AF582">
        <v>486</v>
      </c>
      <c r="AG582">
        <v>176</v>
      </c>
    </row>
    <row r="583" spans="1:39" x14ac:dyDescent="0.2">
      <c r="A583" t="s">
        <v>664</v>
      </c>
      <c r="B583" t="s">
        <v>70</v>
      </c>
      <c r="C583" t="s">
        <v>55</v>
      </c>
      <c r="D583">
        <v>4</v>
      </c>
      <c r="E583">
        <v>0</v>
      </c>
      <c r="F583">
        <v>0</v>
      </c>
      <c r="G583">
        <v>0.2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t="s">
        <v>1000</v>
      </c>
      <c r="Z583">
        <v>680</v>
      </c>
      <c r="AA583">
        <v>71</v>
      </c>
      <c r="AB583">
        <v>488</v>
      </c>
      <c r="AC583">
        <v>65</v>
      </c>
      <c r="AD583">
        <v>544</v>
      </c>
      <c r="AE583">
        <v>72</v>
      </c>
      <c r="AF583">
        <v>339</v>
      </c>
      <c r="AG583">
        <v>49</v>
      </c>
      <c r="AH583">
        <f>fpl_player_statistics_cleaned[[#This Row],[Total Points]] / fpl_player_statistics_cleaned[[#This Row],[Now Cost]]</f>
        <v>0</v>
      </c>
      <c r="AI583">
        <f>fpl_player_statistics_cleaned[[#This Row],[Goals Scored]] + fpl_player_statistics_cleaned[[#This Row],[Assists]]</f>
        <v>0</v>
      </c>
      <c r="AJ583" t="e">
        <f>fpl_player_statistics_cleaned[[#This Row],[Total Points]] / fpl_player_statistics_cleaned[[#This Row],[Starts]]</f>
        <v>#DIV/0!</v>
      </c>
      <c r="AK583">
        <f>((fpl_player_statistics_cleaned[[#This Row],[Points Per Game]]) * fpl_player_statistics_cleaned[[#This Row],[Form]]) / fpl_player_statistics_cleaned[[#This Row],[Now Cost]]</f>
        <v>0</v>
      </c>
      <c r="AL583" t="e">
        <f>fpl_player_statistics_cleaned[[#This Row],[Minutes]] / fpl_player_statistics_cleaned[[#This Row],[Total Points]]</f>
        <v>#DIV/0!</v>
      </c>
      <c r="AM58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84" spans="1:39" x14ac:dyDescent="0.2">
      <c r="A584" t="s">
        <v>665</v>
      </c>
      <c r="B584" t="s">
        <v>70</v>
      </c>
      <c r="C584" t="s">
        <v>38</v>
      </c>
      <c r="D584">
        <v>3.9</v>
      </c>
      <c r="E584">
        <v>0</v>
      </c>
      <c r="F584">
        <v>0</v>
      </c>
      <c r="G584">
        <v>0.2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 t="s">
        <v>1000</v>
      </c>
      <c r="Z584">
        <v>732</v>
      </c>
      <c r="AA584">
        <v>230</v>
      </c>
      <c r="AB584">
        <v>420</v>
      </c>
      <c r="AC584">
        <v>157</v>
      </c>
      <c r="AD584">
        <v>477</v>
      </c>
      <c r="AE584">
        <v>174</v>
      </c>
      <c r="AF584">
        <v>334</v>
      </c>
      <c r="AG584">
        <v>118</v>
      </c>
      <c r="AH584">
        <f>fpl_player_statistics_cleaned[[#This Row],[Total Points]] / fpl_player_statistics_cleaned[[#This Row],[Now Cost]]</f>
        <v>0</v>
      </c>
      <c r="AI584">
        <f>fpl_player_statistics_cleaned[[#This Row],[Goals Scored]] + fpl_player_statistics_cleaned[[#This Row],[Assists]]</f>
        <v>0</v>
      </c>
      <c r="AJ584" t="e">
        <f>fpl_player_statistics_cleaned[[#This Row],[Total Points]] / fpl_player_statistics_cleaned[[#This Row],[Starts]]</f>
        <v>#DIV/0!</v>
      </c>
      <c r="AK584">
        <f>((fpl_player_statistics_cleaned[[#This Row],[Points Per Game]]) * fpl_player_statistics_cleaned[[#This Row],[Form]]) / fpl_player_statistics_cleaned[[#This Row],[Now Cost]]</f>
        <v>0</v>
      </c>
      <c r="AL584" t="e">
        <f>fpl_player_statistics_cleaned[[#This Row],[Minutes]] / fpl_player_statistics_cleaned[[#This Row],[Total Points]]</f>
        <v>#DIV/0!</v>
      </c>
      <c r="AM58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85" spans="1:39" hidden="1" x14ac:dyDescent="0.2">
      <c r="A585" t="s">
        <v>666</v>
      </c>
      <c r="B585" t="s">
        <v>97</v>
      </c>
      <c r="C585" t="s">
        <v>41</v>
      </c>
      <c r="D585">
        <v>4.4000000000000004</v>
      </c>
      <c r="E585">
        <v>0</v>
      </c>
      <c r="F585">
        <v>0</v>
      </c>
      <c r="G585">
        <v>0.1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 t="s">
        <v>667</v>
      </c>
      <c r="Z585">
        <v>540</v>
      </c>
      <c r="AA585">
        <v>311</v>
      </c>
      <c r="AB585">
        <v>554</v>
      </c>
      <c r="AC585">
        <v>199</v>
      </c>
      <c r="AD585">
        <v>599</v>
      </c>
      <c r="AE585">
        <v>226</v>
      </c>
      <c r="AF585">
        <v>531</v>
      </c>
      <c r="AG585">
        <v>190</v>
      </c>
    </row>
    <row r="586" spans="1:39" hidden="1" x14ac:dyDescent="0.2">
      <c r="A586" t="s">
        <v>668</v>
      </c>
      <c r="B586" t="s">
        <v>97</v>
      </c>
      <c r="C586" t="s">
        <v>41</v>
      </c>
      <c r="D586">
        <v>4.5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 t="s">
        <v>367</v>
      </c>
      <c r="Z586">
        <v>435</v>
      </c>
      <c r="AA586">
        <v>259</v>
      </c>
      <c r="AB586">
        <v>600</v>
      </c>
      <c r="AC586">
        <v>231</v>
      </c>
      <c r="AD586">
        <v>643</v>
      </c>
      <c r="AE586">
        <v>257</v>
      </c>
      <c r="AF586">
        <v>575</v>
      </c>
      <c r="AG586">
        <v>214</v>
      </c>
    </row>
    <row r="587" spans="1:39" x14ac:dyDescent="0.2">
      <c r="A587" t="s">
        <v>669</v>
      </c>
      <c r="B587" t="s">
        <v>65</v>
      </c>
      <c r="C587" t="s">
        <v>38</v>
      </c>
      <c r="D587">
        <v>4</v>
      </c>
      <c r="E587">
        <v>0</v>
      </c>
      <c r="F587">
        <v>0</v>
      </c>
      <c r="G587">
        <v>0.1</v>
      </c>
      <c r="H587">
        <v>0</v>
      </c>
      <c r="I587">
        <v>0</v>
      </c>
      <c r="J587">
        <v>2</v>
      </c>
      <c r="K587">
        <v>0</v>
      </c>
      <c r="L587">
        <v>2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0.62</v>
      </c>
      <c r="X587">
        <v>0</v>
      </c>
      <c r="Y587" t="s">
        <v>1000</v>
      </c>
      <c r="Z587">
        <v>648</v>
      </c>
      <c r="AA587">
        <v>173</v>
      </c>
      <c r="AB587">
        <v>462</v>
      </c>
      <c r="AC587">
        <v>180</v>
      </c>
      <c r="AD587">
        <v>519</v>
      </c>
      <c r="AE587">
        <v>197</v>
      </c>
      <c r="AF587">
        <v>530</v>
      </c>
      <c r="AG587">
        <v>191</v>
      </c>
      <c r="AH587">
        <f>fpl_player_statistics_cleaned[[#This Row],[Total Points]] / fpl_player_statistics_cleaned[[#This Row],[Now Cost]]</f>
        <v>0</v>
      </c>
      <c r="AI587">
        <f>fpl_player_statistics_cleaned[[#This Row],[Goals Scored]] + fpl_player_statistics_cleaned[[#This Row],[Assists]]</f>
        <v>0</v>
      </c>
      <c r="AJ587" t="e">
        <f>fpl_player_statistics_cleaned[[#This Row],[Total Points]] / fpl_player_statistics_cleaned[[#This Row],[Starts]]</f>
        <v>#DIV/0!</v>
      </c>
      <c r="AK587">
        <f>((fpl_player_statistics_cleaned[[#This Row],[Points Per Game]]) * fpl_player_statistics_cleaned[[#This Row],[Form]]) / fpl_player_statistics_cleaned[[#This Row],[Now Cost]]</f>
        <v>0</v>
      </c>
      <c r="AL587" t="e">
        <f>fpl_player_statistics_cleaned[[#This Row],[Minutes]] / fpl_player_statistics_cleaned[[#This Row],[Total Points]]</f>
        <v>#DIV/0!</v>
      </c>
      <c r="AM58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88" spans="1:39" hidden="1" x14ac:dyDescent="0.2">
      <c r="A588" t="s">
        <v>670</v>
      </c>
      <c r="B588" t="s">
        <v>65</v>
      </c>
      <c r="C588" t="s">
        <v>55</v>
      </c>
      <c r="D588">
        <v>4</v>
      </c>
      <c r="E588">
        <v>0</v>
      </c>
      <c r="F588">
        <v>0</v>
      </c>
      <c r="G588">
        <v>0.2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 t="s">
        <v>671</v>
      </c>
      <c r="Z588">
        <v>662</v>
      </c>
      <c r="AA588">
        <v>65</v>
      </c>
      <c r="AB588">
        <v>472</v>
      </c>
      <c r="AC588">
        <v>59</v>
      </c>
      <c r="AD588">
        <v>529</v>
      </c>
      <c r="AE588">
        <v>66</v>
      </c>
      <c r="AF588">
        <v>349</v>
      </c>
      <c r="AG588">
        <v>51</v>
      </c>
    </row>
    <row r="589" spans="1:39" x14ac:dyDescent="0.2">
      <c r="A589" t="s">
        <v>984</v>
      </c>
      <c r="B589" t="s">
        <v>65</v>
      </c>
      <c r="C589" t="s">
        <v>55</v>
      </c>
      <c r="D589">
        <v>4</v>
      </c>
      <c r="E589">
        <v>0</v>
      </c>
      <c r="F589">
        <v>0</v>
      </c>
      <c r="G589">
        <v>0.2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 t="s">
        <v>1000</v>
      </c>
      <c r="Z589">
        <v>616</v>
      </c>
      <c r="AA589">
        <v>39</v>
      </c>
      <c r="AB589">
        <v>435</v>
      </c>
      <c r="AC589">
        <v>35</v>
      </c>
      <c r="AD589">
        <v>492</v>
      </c>
      <c r="AE589">
        <v>42</v>
      </c>
      <c r="AF589">
        <v>391</v>
      </c>
      <c r="AG589">
        <v>60</v>
      </c>
      <c r="AH589">
        <f>fpl_player_statistics_cleaned[[#This Row],[Total Points]] / fpl_player_statistics_cleaned[[#This Row],[Now Cost]]</f>
        <v>0</v>
      </c>
      <c r="AI589">
        <f>fpl_player_statistics_cleaned[[#This Row],[Goals Scored]] + fpl_player_statistics_cleaned[[#This Row],[Assists]]</f>
        <v>0</v>
      </c>
      <c r="AJ589" t="e">
        <f>fpl_player_statistics_cleaned[[#This Row],[Total Points]] / fpl_player_statistics_cleaned[[#This Row],[Starts]]</f>
        <v>#DIV/0!</v>
      </c>
      <c r="AK589">
        <f>((fpl_player_statistics_cleaned[[#This Row],[Points Per Game]]) * fpl_player_statistics_cleaned[[#This Row],[Form]]) / fpl_player_statistics_cleaned[[#This Row],[Now Cost]]</f>
        <v>0</v>
      </c>
      <c r="AL589" t="e">
        <f>fpl_player_statistics_cleaned[[#This Row],[Minutes]] / fpl_player_statistics_cleaned[[#This Row],[Total Points]]</f>
        <v>#DIV/0!</v>
      </c>
      <c r="AM58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90" spans="1:39" hidden="1" x14ac:dyDescent="0.2">
      <c r="A590" t="s">
        <v>672</v>
      </c>
      <c r="B590" t="s">
        <v>97</v>
      </c>
      <c r="C590" t="s">
        <v>41</v>
      </c>
      <c r="D590">
        <v>4.9000000000000004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 t="s">
        <v>673</v>
      </c>
      <c r="Z590">
        <v>291</v>
      </c>
      <c r="AA590">
        <v>182</v>
      </c>
      <c r="AB590">
        <v>660</v>
      </c>
      <c r="AC590">
        <v>272</v>
      </c>
      <c r="AD590">
        <v>692</v>
      </c>
      <c r="AE590">
        <v>291</v>
      </c>
      <c r="AF590">
        <v>667</v>
      </c>
      <c r="AG590">
        <v>282</v>
      </c>
    </row>
    <row r="591" spans="1:39" hidden="1" x14ac:dyDescent="0.2">
      <c r="A591" t="s">
        <v>985</v>
      </c>
      <c r="B591" t="s">
        <v>97</v>
      </c>
      <c r="C591" t="s">
        <v>41</v>
      </c>
      <c r="D591">
        <v>4.9000000000000004</v>
      </c>
      <c r="E591">
        <v>0</v>
      </c>
      <c r="F591">
        <v>0</v>
      </c>
      <c r="G591">
        <v>0.1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 t="s">
        <v>986</v>
      </c>
      <c r="Z591">
        <v>307</v>
      </c>
      <c r="AA591">
        <v>194</v>
      </c>
      <c r="AB591">
        <v>665</v>
      </c>
      <c r="AC591">
        <v>275</v>
      </c>
      <c r="AD591">
        <v>695</v>
      </c>
      <c r="AE591">
        <v>293</v>
      </c>
      <c r="AF591">
        <v>563</v>
      </c>
      <c r="AG591">
        <v>209</v>
      </c>
    </row>
    <row r="592" spans="1:39" hidden="1" x14ac:dyDescent="0.2">
      <c r="A592" t="s">
        <v>674</v>
      </c>
      <c r="B592" t="s">
        <v>65</v>
      </c>
      <c r="C592" t="s">
        <v>38</v>
      </c>
      <c r="D592">
        <v>4.4000000000000004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 t="s">
        <v>675</v>
      </c>
      <c r="Z592">
        <v>500</v>
      </c>
      <c r="AA592">
        <v>111</v>
      </c>
      <c r="AB592">
        <v>531</v>
      </c>
      <c r="AC592">
        <v>219</v>
      </c>
      <c r="AD592">
        <v>579</v>
      </c>
      <c r="AE592">
        <v>230</v>
      </c>
      <c r="AF592">
        <v>617</v>
      </c>
      <c r="AG592">
        <v>215</v>
      </c>
    </row>
    <row r="593" spans="1:39" x14ac:dyDescent="0.2">
      <c r="A593" t="s">
        <v>676</v>
      </c>
      <c r="B593" t="s">
        <v>65</v>
      </c>
      <c r="C593" t="s">
        <v>38</v>
      </c>
      <c r="D593">
        <v>3.9</v>
      </c>
      <c r="E593">
        <v>0</v>
      </c>
      <c r="F593">
        <v>0</v>
      </c>
      <c r="G593">
        <v>0.2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 t="s">
        <v>1000</v>
      </c>
      <c r="Z593">
        <v>709</v>
      </c>
      <c r="AA593">
        <v>214</v>
      </c>
      <c r="AB593">
        <v>399</v>
      </c>
      <c r="AC593">
        <v>143</v>
      </c>
      <c r="AD593">
        <v>457</v>
      </c>
      <c r="AE593">
        <v>161</v>
      </c>
      <c r="AF593">
        <v>342</v>
      </c>
      <c r="AG593">
        <v>121</v>
      </c>
      <c r="AH593">
        <f>fpl_player_statistics_cleaned[[#This Row],[Total Points]] / fpl_player_statistics_cleaned[[#This Row],[Now Cost]]</f>
        <v>0</v>
      </c>
      <c r="AI593">
        <f>fpl_player_statistics_cleaned[[#This Row],[Goals Scored]] + fpl_player_statistics_cleaned[[#This Row],[Assists]]</f>
        <v>0</v>
      </c>
      <c r="AJ593" t="e">
        <f>fpl_player_statistics_cleaned[[#This Row],[Total Points]] / fpl_player_statistics_cleaned[[#This Row],[Starts]]</f>
        <v>#DIV/0!</v>
      </c>
      <c r="AK593">
        <f>((fpl_player_statistics_cleaned[[#This Row],[Points Per Game]]) * fpl_player_statistics_cleaned[[#This Row],[Form]]) / fpl_player_statistics_cleaned[[#This Row],[Now Cost]]</f>
        <v>0</v>
      </c>
      <c r="AL593" t="e">
        <f>fpl_player_statistics_cleaned[[#This Row],[Minutes]] / fpl_player_statistics_cleaned[[#This Row],[Total Points]]</f>
        <v>#DIV/0!</v>
      </c>
      <c r="AM59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94" spans="1:39" hidden="1" x14ac:dyDescent="0.2">
      <c r="A594" t="s">
        <v>677</v>
      </c>
      <c r="B594" t="s">
        <v>65</v>
      </c>
      <c r="C594" t="s">
        <v>38</v>
      </c>
      <c r="D594">
        <v>4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 t="s">
        <v>678</v>
      </c>
      <c r="Z594">
        <v>650</v>
      </c>
      <c r="AA594">
        <v>175</v>
      </c>
      <c r="AB594">
        <v>464</v>
      </c>
      <c r="AC594">
        <v>182</v>
      </c>
      <c r="AD594">
        <v>521</v>
      </c>
      <c r="AE594">
        <v>199</v>
      </c>
      <c r="AF594">
        <v>674</v>
      </c>
      <c r="AG594">
        <v>228</v>
      </c>
    </row>
    <row r="595" spans="1:39" x14ac:dyDescent="0.2">
      <c r="A595" t="s">
        <v>679</v>
      </c>
      <c r="B595" t="s">
        <v>46</v>
      </c>
      <c r="C595" t="s">
        <v>35</v>
      </c>
      <c r="D595">
        <v>4.4000000000000004</v>
      </c>
      <c r="E595">
        <v>0</v>
      </c>
      <c r="F595">
        <v>0</v>
      </c>
      <c r="G595">
        <v>0.4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 t="s">
        <v>1000</v>
      </c>
      <c r="Z595">
        <v>543</v>
      </c>
      <c r="AA595">
        <v>72</v>
      </c>
      <c r="AB595">
        <v>557</v>
      </c>
      <c r="AC595">
        <v>57</v>
      </c>
      <c r="AD595">
        <v>602</v>
      </c>
      <c r="AE595">
        <v>62</v>
      </c>
      <c r="AF595">
        <v>260</v>
      </c>
      <c r="AG595">
        <v>37</v>
      </c>
      <c r="AH595">
        <f>fpl_player_statistics_cleaned[[#This Row],[Total Points]] / fpl_player_statistics_cleaned[[#This Row],[Now Cost]]</f>
        <v>0</v>
      </c>
      <c r="AI595">
        <f>fpl_player_statistics_cleaned[[#This Row],[Goals Scored]] + fpl_player_statistics_cleaned[[#This Row],[Assists]]</f>
        <v>0</v>
      </c>
      <c r="AJ595" t="e">
        <f>fpl_player_statistics_cleaned[[#This Row],[Total Points]] / fpl_player_statistics_cleaned[[#This Row],[Starts]]</f>
        <v>#DIV/0!</v>
      </c>
      <c r="AK595">
        <f>((fpl_player_statistics_cleaned[[#This Row],[Points Per Game]]) * fpl_player_statistics_cleaned[[#This Row],[Form]]) / fpl_player_statistics_cleaned[[#This Row],[Now Cost]]</f>
        <v>0</v>
      </c>
      <c r="AL595" t="e">
        <f>fpl_player_statistics_cleaned[[#This Row],[Minutes]] / fpl_player_statistics_cleaned[[#This Row],[Total Points]]</f>
        <v>#DIV/0!</v>
      </c>
      <c r="AM59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96" spans="1:39" x14ac:dyDescent="0.2">
      <c r="A596" t="s">
        <v>680</v>
      </c>
      <c r="B596" t="s">
        <v>122</v>
      </c>
      <c r="C596" t="s">
        <v>55</v>
      </c>
      <c r="D596">
        <v>4</v>
      </c>
      <c r="E596">
        <v>0</v>
      </c>
      <c r="F596">
        <v>0</v>
      </c>
      <c r="G596">
        <v>0.3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 t="s">
        <v>1000</v>
      </c>
      <c r="Z596">
        <v>636</v>
      </c>
      <c r="AA596">
        <v>53</v>
      </c>
      <c r="AB596">
        <v>452</v>
      </c>
      <c r="AC596">
        <v>47</v>
      </c>
      <c r="AD596">
        <v>509</v>
      </c>
      <c r="AE596">
        <v>54</v>
      </c>
      <c r="AF596">
        <v>290</v>
      </c>
      <c r="AG596">
        <v>39</v>
      </c>
      <c r="AH596">
        <f>fpl_player_statistics_cleaned[[#This Row],[Total Points]] / fpl_player_statistics_cleaned[[#This Row],[Now Cost]]</f>
        <v>0</v>
      </c>
      <c r="AI596">
        <f>fpl_player_statistics_cleaned[[#This Row],[Goals Scored]] + fpl_player_statistics_cleaned[[#This Row],[Assists]]</f>
        <v>0</v>
      </c>
      <c r="AJ596" t="e">
        <f>fpl_player_statistics_cleaned[[#This Row],[Total Points]] / fpl_player_statistics_cleaned[[#This Row],[Starts]]</f>
        <v>#DIV/0!</v>
      </c>
      <c r="AK596">
        <f>((fpl_player_statistics_cleaned[[#This Row],[Points Per Game]]) * fpl_player_statistics_cleaned[[#This Row],[Form]]) / fpl_player_statistics_cleaned[[#This Row],[Now Cost]]</f>
        <v>0</v>
      </c>
      <c r="AL596" t="e">
        <f>fpl_player_statistics_cleaned[[#This Row],[Minutes]] / fpl_player_statistics_cleaned[[#This Row],[Total Points]]</f>
        <v>#DIV/0!</v>
      </c>
      <c r="AM59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97" spans="1:39" x14ac:dyDescent="0.2">
      <c r="A597" t="s">
        <v>681</v>
      </c>
      <c r="B597" t="s">
        <v>54</v>
      </c>
      <c r="C597" t="s">
        <v>55</v>
      </c>
      <c r="D597">
        <v>3.9</v>
      </c>
      <c r="E597">
        <v>0</v>
      </c>
      <c r="F597">
        <v>0</v>
      </c>
      <c r="G597">
        <v>0.4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 t="s">
        <v>1000</v>
      </c>
      <c r="Z597">
        <v>698</v>
      </c>
      <c r="AA597">
        <v>75</v>
      </c>
      <c r="AB597">
        <v>389</v>
      </c>
      <c r="AC597">
        <v>23</v>
      </c>
      <c r="AD597">
        <v>450</v>
      </c>
      <c r="AE597">
        <v>30</v>
      </c>
      <c r="AF597">
        <v>275</v>
      </c>
      <c r="AG597">
        <v>37</v>
      </c>
      <c r="AH597">
        <f>fpl_player_statistics_cleaned[[#This Row],[Total Points]] / fpl_player_statistics_cleaned[[#This Row],[Now Cost]]</f>
        <v>0</v>
      </c>
      <c r="AI597">
        <f>fpl_player_statistics_cleaned[[#This Row],[Goals Scored]] + fpl_player_statistics_cleaned[[#This Row],[Assists]]</f>
        <v>0</v>
      </c>
      <c r="AJ597" t="e">
        <f>fpl_player_statistics_cleaned[[#This Row],[Total Points]] / fpl_player_statistics_cleaned[[#This Row],[Starts]]</f>
        <v>#DIV/0!</v>
      </c>
      <c r="AK597">
        <f>((fpl_player_statistics_cleaned[[#This Row],[Points Per Game]]) * fpl_player_statistics_cleaned[[#This Row],[Form]]) / fpl_player_statistics_cleaned[[#This Row],[Now Cost]]</f>
        <v>0</v>
      </c>
      <c r="AL597" t="e">
        <f>fpl_player_statistics_cleaned[[#This Row],[Minutes]] / fpl_player_statistics_cleaned[[#This Row],[Total Points]]</f>
        <v>#DIV/0!</v>
      </c>
      <c r="AM59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598" spans="1:39" hidden="1" x14ac:dyDescent="0.2">
      <c r="A598" t="s">
        <v>682</v>
      </c>
      <c r="B598" t="s">
        <v>57</v>
      </c>
      <c r="C598" t="s">
        <v>41</v>
      </c>
      <c r="D598">
        <v>4.5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 t="s">
        <v>683</v>
      </c>
      <c r="Z598">
        <v>436</v>
      </c>
      <c r="AA598">
        <v>260</v>
      </c>
      <c r="AB598">
        <v>601</v>
      </c>
      <c r="AC598">
        <v>232</v>
      </c>
      <c r="AD598">
        <v>644</v>
      </c>
      <c r="AE598">
        <v>258</v>
      </c>
      <c r="AF598">
        <v>747</v>
      </c>
      <c r="AG598">
        <v>332</v>
      </c>
    </row>
    <row r="599" spans="1:39" hidden="1" x14ac:dyDescent="0.2">
      <c r="A599" t="s">
        <v>684</v>
      </c>
      <c r="B599" t="s">
        <v>49</v>
      </c>
      <c r="C599" t="s">
        <v>55</v>
      </c>
      <c r="D599">
        <v>4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 t="s">
        <v>685</v>
      </c>
      <c r="Z599">
        <v>687</v>
      </c>
      <c r="AA599">
        <v>73</v>
      </c>
      <c r="AB599">
        <v>495</v>
      </c>
      <c r="AC599">
        <v>67</v>
      </c>
      <c r="AD599">
        <v>550</v>
      </c>
      <c r="AE599">
        <v>74</v>
      </c>
      <c r="AF599">
        <v>741</v>
      </c>
      <c r="AG599">
        <v>86</v>
      </c>
    </row>
    <row r="600" spans="1:39" hidden="1" x14ac:dyDescent="0.2">
      <c r="A600" t="s">
        <v>987</v>
      </c>
      <c r="B600" t="s">
        <v>49</v>
      </c>
      <c r="C600" t="s">
        <v>55</v>
      </c>
      <c r="D600">
        <v>4.9000000000000004</v>
      </c>
      <c r="E600">
        <v>0</v>
      </c>
      <c r="F600">
        <v>0</v>
      </c>
      <c r="G600">
        <v>0.2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 t="s">
        <v>686</v>
      </c>
      <c r="Z600">
        <v>301</v>
      </c>
      <c r="AA600">
        <v>12</v>
      </c>
      <c r="AB600">
        <v>664</v>
      </c>
      <c r="AC600">
        <v>84</v>
      </c>
      <c r="AD600">
        <v>694</v>
      </c>
      <c r="AE600">
        <v>85</v>
      </c>
      <c r="AF600">
        <v>397</v>
      </c>
      <c r="AG600">
        <v>61</v>
      </c>
    </row>
    <row r="601" spans="1:39" x14ac:dyDescent="0.2">
      <c r="A601" t="s">
        <v>687</v>
      </c>
      <c r="B601" t="s">
        <v>57</v>
      </c>
      <c r="C601" t="s">
        <v>41</v>
      </c>
      <c r="D601">
        <v>4.4000000000000004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 t="s">
        <v>1000</v>
      </c>
      <c r="Z601">
        <v>537</v>
      </c>
      <c r="AA601">
        <v>310</v>
      </c>
      <c r="AB601">
        <v>551</v>
      </c>
      <c r="AC601">
        <v>198</v>
      </c>
      <c r="AD601">
        <v>597</v>
      </c>
      <c r="AE601">
        <v>225</v>
      </c>
      <c r="AF601">
        <v>591</v>
      </c>
      <c r="AG601">
        <v>229</v>
      </c>
      <c r="AH601">
        <f>fpl_player_statistics_cleaned[[#This Row],[Total Points]] / fpl_player_statistics_cleaned[[#This Row],[Now Cost]]</f>
        <v>0</v>
      </c>
      <c r="AI601">
        <f>fpl_player_statistics_cleaned[[#This Row],[Goals Scored]] + fpl_player_statistics_cleaned[[#This Row],[Assists]]</f>
        <v>0</v>
      </c>
      <c r="AJ601" t="e">
        <f>fpl_player_statistics_cleaned[[#This Row],[Total Points]] / fpl_player_statistics_cleaned[[#This Row],[Starts]]</f>
        <v>#DIV/0!</v>
      </c>
      <c r="AK601">
        <f>((fpl_player_statistics_cleaned[[#This Row],[Points Per Game]]) * fpl_player_statistics_cleaned[[#This Row],[Form]]) / fpl_player_statistics_cleaned[[#This Row],[Now Cost]]</f>
        <v>0</v>
      </c>
      <c r="AL601" t="e">
        <f>fpl_player_statistics_cleaned[[#This Row],[Minutes]] / fpl_player_statistics_cleaned[[#This Row],[Total Points]]</f>
        <v>#DIV/0!</v>
      </c>
      <c r="AM60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02" spans="1:39" hidden="1" x14ac:dyDescent="0.2">
      <c r="A602" t="s">
        <v>688</v>
      </c>
      <c r="B602" t="s">
        <v>57</v>
      </c>
      <c r="C602" t="s">
        <v>41</v>
      </c>
      <c r="D602">
        <v>4.5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 t="s">
        <v>689</v>
      </c>
      <c r="Z602">
        <v>440</v>
      </c>
      <c r="AA602">
        <v>262</v>
      </c>
      <c r="AB602">
        <v>604</v>
      </c>
      <c r="AC602">
        <v>234</v>
      </c>
      <c r="AD602">
        <v>647</v>
      </c>
      <c r="AE602">
        <v>260</v>
      </c>
      <c r="AF602">
        <v>659</v>
      </c>
      <c r="AG602">
        <v>275</v>
      </c>
    </row>
    <row r="603" spans="1:39" x14ac:dyDescent="0.2">
      <c r="A603" t="s">
        <v>690</v>
      </c>
      <c r="B603" t="s">
        <v>34</v>
      </c>
      <c r="C603" t="s">
        <v>41</v>
      </c>
      <c r="D603">
        <v>4.5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 t="s">
        <v>1000</v>
      </c>
      <c r="Z603">
        <v>483</v>
      </c>
      <c r="AA603">
        <v>294</v>
      </c>
      <c r="AB603">
        <v>638</v>
      </c>
      <c r="AC603">
        <v>261</v>
      </c>
      <c r="AD603">
        <v>679</v>
      </c>
      <c r="AE603">
        <v>285</v>
      </c>
      <c r="AF603">
        <v>709</v>
      </c>
      <c r="AG603">
        <v>307</v>
      </c>
      <c r="AH603">
        <f>fpl_player_statistics_cleaned[[#This Row],[Total Points]] / fpl_player_statistics_cleaned[[#This Row],[Now Cost]]</f>
        <v>0</v>
      </c>
      <c r="AI603">
        <f>fpl_player_statistics_cleaned[[#This Row],[Goals Scored]] + fpl_player_statistics_cleaned[[#This Row],[Assists]]</f>
        <v>0</v>
      </c>
      <c r="AJ603" t="e">
        <f>fpl_player_statistics_cleaned[[#This Row],[Total Points]] / fpl_player_statistics_cleaned[[#This Row],[Starts]]</f>
        <v>#DIV/0!</v>
      </c>
      <c r="AK603">
        <f>((fpl_player_statistics_cleaned[[#This Row],[Points Per Game]]) * fpl_player_statistics_cleaned[[#This Row],[Form]]) / fpl_player_statistics_cleaned[[#This Row],[Now Cost]]</f>
        <v>0</v>
      </c>
      <c r="AL603" t="e">
        <f>fpl_player_statistics_cleaned[[#This Row],[Minutes]] / fpl_player_statistics_cleaned[[#This Row],[Total Points]]</f>
        <v>#DIV/0!</v>
      </c>
      <c r="AM60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04" spans="1:39" x14ac:dyDescent="0.2">
      <c r="A604" t="s">
        <v>691</v>
      </c>
      <c r="B604" t="s">
        <v>34</v>
      </c>
      <c r="C604" t="s">
        <v>38</v>
      </c>
      <c r="D604">
        <v>4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 t="s">
        <v>1000</v>
      </c>
      <c r="Z604">
        <v>681</v>
      </c>
      <c r="AA604">
        <v>193</v>
      </c>
      <c r="AB604">
        <v>489</v>
      </c>
      <c r="AC604">
        <v>194</v>
      </c>
      <c r="AD604">
        <v>545</v>
      </c>
      <c r="AE604">
        <v>210</v>
      </c>
      <c r="AF604">
        <v>619</v>
      </c>
      <c r="AG604">
        <v>216</v>
      </c>
      <c r="AH604">
        <f>fpl_player_statistics_cleaned[[#This Row],[Total Points]] / fpl_player_statistics_cleaned[[#This Row],[Now Cost]]</f>
        <v>0</v>
      </c>
      <c r="AI604">
        <f>fpl_player_statistics_cleaned[[#This Row],[Goals Scored]] + fpl_player_statistics_cleaned[[#This Row],[Assists]]</f>
        <v>0</v>
      </c>
      <c r="AJ604" t="e">
        <f>fpl_player_statistics_cleaned[[#This Row],[Total Points]] / fpl_player_statistics_cleaned[[#This Row],[Starts]]</f>
        <v>#DIV/0!</v>
      </c>
      <c r="AK604">
        <f>((fpl_player_statistics_cleaned[[#This Row],[Points Per Game]]) * fpl_player_statistics_cleaned[[#This Row],[Form]]) / fpl_player_statistics_cleaned[[#This Row],[Now Cost]]</f>
        <v>0</v>
      </c>
      <c r="AL604" t="e">
        <f>fpl_player_statistics_cleaned[[#This Row],[Minutes]] / fpl_player_statistics_cleaned[[#This Row],[Total Points]]</f>
        <v>#DIV/0!</v>
      </c>
      <c r="AM60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05" spans="1:39" x14ac:dyDescent="0.2">
      <c r="A605" t="s">
        <v>692</v>
      </c>
      <c r="B605" t="s">
        <v>34</v>
      </c>
      <c r="C605" t="s">
        <v>41</v>
      </c>
      <c r="D605">
        <v>4.5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 t="s">
        <v>1000</v>
      </c>
      <c r="Z605">
        <v>472</v>
      </c>
      <c r="AA605">
        <v>285</v>
      </c>
      <c r="AB605">
        <v>629</v>
      </c>
      <c r="AC605">
        <v>253</v>
      </c>
      <c r="AD605">
        <v>672</v>
      </c>
      <c r="AE605">
        <v>279</v>
      </c>
      <c r="AF605">
        <v>663</v>
      </c>
      <c r="AG605">
        <v>279</v>
      </c>
      <c r="AH605">
        <f>fpl_player_statistics_cleaned[[#This Row],[Total Points]] / fpl_player_statistics_cleaned[[#This Row],[Now Cost]]</f>
        <v>0</v>
      </c>
      <c r="AI605">
        <f>fpl_player_statistics_cleaned[[#This Row],[Goals Scored]] + fpl_player_statistics_cleaned[[#This Row],[Assists]]</f>
        <v>0</v>
      </c>
      <c r="AJ605" t="e">
        <f>fpl_player_statistics_cleaned[[#This Row],[Total Points]] / fpl_player_statistics_cleaned[[#This Row],[Starts]]</f>
        <v>#DIV/0!</v>
      </c>
      <c r="AK605">
        <f>((fpl_player_statistics_cleaned[[#This Row],[Points Per Game]]) * fpl_player_statistics_cleaned[[#This Row],[Form]]) / fpl_player_statistics_cleaned[[#This Row],[Now Cost]]</f>
        <v>0</v>
      </c>
      <c r="AL605" t="e">
        <f>fpl_player_statistics_cleaned[[#This Row],[Minutes]] / fpl_player_statistics_cleaned[[#This Row],[Total Points]]</f>
        <v>#DIV/0!</v>
      </c>
      <c r="AM60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06" spans="1:39" hidden="1" x14ac:dyDescent="0.2">
      <c r="A606" t="s">
        <v>693</v>
      </c>
      <c r="B606" t="s">
        <v>57</v>
      </c>
      <c r="C606" t="s">
        <v>35</v>
      </c>
      <c r="D606">
        <v>4.9000000000000004</v>
      </c>
      <c r="E606">
        <v>0</v>
      </c>
      <c r="F606">
        <v>0</v>
      </c>
      <c r="G606">
        <v>0.1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 t="s">
        <v>694</v>
      </c>
      <c r="Z606">
        <v>336</v>
      </c>
      <c r="AA606">
        <v>57</v>
      </c>
      <c r="AB606">
        <v>676</v>
      </c>
      <c r="AC606">
        <v>72</v>
      </c>
      <c r="AD606">
        <v>704</v>
      </c>
      <c r="AE606">
        <v>76</v>
      </c>
      <c r="AF606">
        <v>510</v>
      </c>
      <c r="AG606">
        <v>70</v>
      </c>
    </row>
    <row r="607" spans="1:39" x14ac:dyDescent="0.2">
      <c r="A607" t="s">
        <v>695</v>
      </c>
      <c r="B607" t="s">
        <v>49</v>
      </c>
      <c r="C607" t="s">
        <v>55</v>
      </c>
      <c r="D607">
        <v>3.9</v>
      </c>
      <c r="E607">
        <v>0</v>
      </c>
      <c r="F607">
        <v>0</v>
      </c>
      <c r="G607">
        <v>0.1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 t="s">
        <v>1000</v>
      </c>
      <c r="Z607">
        <v>716</v>
      </c>
      <c r="AA607">
        <v>80</v>
      </c>
      <c r="AB607">
        <v>404</v>
      </c>
      <c r="AC607">
        <v>28</v>
      </c>
      <c r="AD607">
        <v>462</v>
      </c>
      <c r="AE607">
        <v>35</v>
      </c>
      <c r="AF607">
        <v>457</v>
      </c>
      <c r="AG607">
        <v>72</v>
      </c>
      <c r="AH607">
        <f>fpl_player_statistics_cleaned[[#This Row],[Total Points]] / fpl_player_statistics_cleaned[[#This Row],[Now Cost]]</f>
        <v>0</v>
      </c>
      <c r="AI607">
        <f>fpl_player_statistics_cleaned[[#This Row],[Goals Scored]] + fpl_player_statistics_cleaned[[#This Row],[Assists]]</f>
        <v>0</v>
      </c>
      <c r="AJ607" t="e">
        <f>fpl_player_statistics_cleaned[[#This Row],[Total Points]] / fpl_player_statistics_cleaned[[#This Row],[Starts]]</f>
        <v>#DIV/0!</v>
      </c>
      <c r="AK607">
        <f>((fpl_player_statistics_cleaned[[#This Row],[Points Per Game]]) * fpl_player_statistics_cleaned[[#This Row],[Form]]) / fpl_player_statistics_cleaned[[#This Row],[Now Cost]]</f>
        <v>0</v>
      </c>
      <c r="AL607" t="e">
        <f>fpl_player_statistics_cleaned[[#This Row],[Minutes]] / fpl_player_statistics_cleaned[[#This Row],[Total Points]]</f>
        <v>#DIV/0!</v>
      </c>
      <c r="AM60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08" spans="1:39" x14ac:dyDescent="0.2">
      <c r="A608" t="s">
        <v>696</v>
      </c>
      <c r="B608" t="s">
        <v>34</v>
      </c>
      <c r="C608" t="s">
        <v>41</v>
      </c>
      <c r="D608">
        <v>4.8</v>
      </c>
      <c r="E608">
        <v>0</v>
      </c>
      <c r="F608">
        <v>0</v>
      </c>
      <c r="G608">
        <v>0.1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 t="s">
        <v>1000</v>
      </c>
      <c r="Z608">
        <v>353</v>
      </c>
      <c r="AA608">
        <v>224</v>
      </c>
      <c r="AB608">
        <v>648</v>
      </c>
      <c r="AC608">
        <v>267</v>
      </c>
      <c r="AD608">
        <v>683</v>
      </c>
      <c r="AE608">
        <v>288</v>
      </c>
      <c r="AF608">
        <v>533</v>
      </c>
      <c r="AG608">
        <v>192</v>
      </c>
      <c r="AH608">
        <f>fpl_player_statistics_cleaned[[#This Row],[Total Points]] / fpl_player_statistics_cleaned[[#This Row],[Now Cost]]</f>
        <v>0</v>
      </c>
      <c r="AI608">
        <f>fpl_player_statistics_cleaned[[#This Row],[Goals Scored]] + fpl_player_statistics_cleaned[[#This Row],[Assists]]</f>
        <v>0</v>
      </c>
      <c r="AJ608" t="e">
        <f>fpl_player_statistics_cleaned[[#This Row],[Total Points]] / fpl_player_statistics_cleaned[[#This Row],[Starts]]</f>
        <v>#DIV/0!</v>
      </c>
      <c r="AK608">
        <f>((fpl_player_statistics_cleaned[[#This Row],[Points Per Game]]) * fpl_player_statistics_cleaned[[#This Row],[Form]]) / fpl_player_statistics_cleaned[[#This Row],[Now Cost]]</f>
        <v>0</v>
      </c>
      <c r="AL608" t="e">
        <f>fpl_player_statistics_cleaned[[#This Row],[Minutes]] / fpl_player_statistics_cleaned[[#This Row],[Total Points]]</f>
        <v>#DIV/0!</v>
      </c>
      <c r="AM60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09" spans="1:39" hidden="1" x14ac:dyDescent="0.2">
      <c r="A609" t="s">
        <v>697</v>
      </c>
      <c r="B609" t="s">
        <v>34</v>
      </c>
      <c r="C609" t="s">
        <v>41</v>
      </c>
      <c r="D609">
        <v>5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t="s">
        <v>698</v>
      </c>
      <c r="Z609">
        <v>285</v>
      </c>
      <c r="AA609">
        <v>178</v>
      </c>
      <c r="AB609">
        <v>694</v>
      </c>
      <c r="AC609">
        <v>296</v>
      </c>
      <c r="AD609">
        <v>720</v>
      </c>
      <c r="AE609">
        <v>313</v>
      </c>
      <c r="AF609">
        <v>684</v>
      </c>
      <c r="AG609">
        <v>291</v>
      </c>
    </row>
    <row r="610" spans="1:39" hidden="1" x14ac:dyDescent="0.2">
      <c r="A610" t="s">
        <v>699</v>
      </c>
      <c r="B610" t="s">
        <v>57</v>
      </c>
      <c r="C610" t="s">
        <v>35</v>
      </c>
      <c r="D610">
        <v>4.4000000000000004</v>
      </c>
      <c r="E610">
        <v>0</v>
      </c>
      <c r="F610">
        <v>0</v>
      </c>
      <c r="G610">
        <v>0.1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 t="s">
        <v>700</v>
      </c>
      <c r="Z610">
        <v>545</v>
      </c>
      <c r="AA610">
        <v>73</v>
      </c>
      <c r="AB610">
        <v>558</v>
      </c>
      <c r="AC610">
        <v>58</v>
      </c>
      <c r="AD610">
        <v>603</v>
      </c>
      <c r="AE610">
        <v>63</v>
      </c>
      <c r="AF610">
        <v>416</v>
      </c>
      <c r="AG610">
        <v>59</v>
      </c>
    </row>
    <row r="611" spans="1:39" hidden="1" x14ac:dyDescent="0.2">
      <c r="A611" t="s">
        <v>701</v>
      </c>
      <c r="B611" t="s">
        <v>34</v>
      </c>
      <c r="C611" t="s">
        <v>41</v>
      </c>
      <c r="D611">
        <v>5.4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 t="s">
        <v>702</v>
      </c>
      <c r="Z611">
        <v>188</v>
      </c>
      <c r="AA611">
        <v>118</v>
      </c>
      <c r="AB611">
        <v>721</v>
      </c>
      <c r="AC611">
        <v>315</v>
      </c>
      <c r="AD611">
        <v>734</v>
      </c>
      <c r="AE611">
        <v>322</v>
      </c>
      <c r="AF611">
        <v>697</v>
      </c>
      <c r="AG611">
        <v>300</v>
      </c>
    </row>
    <row r="612" spans="1:39" x14ac:dyDescent="0.2">
      <c r="A612" t="s">
        <v>703</v>
      </c>
      <c r="B612" t="s">
        <v>57</v>
      </c>
      <c r="C612" t="s">
        <v>55</v>
      </c>
      <c r="D612">
        <v>3.9</v>
      </c>
      <c r="E612">
        <v>0</v>
      </c>
      <c r="F612">
        <v>0</v>
      </c>
      <c r="G612">
        <v>1.4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t="s">
        <v>1000</v>
      </c>
      <c r="Z612">
        <v>702</v>
      </c>
      <c r="AA612">
        <v>76</v>
      </c>
      <c r="AB612">
        <v>393</v>
      </c>
      <c r="AC612">
        <v>24</v>
      </c>
      <c r="AD612">
        <v>452</v>
      </c>
      <c r="AE612">
        <v>31</v>
      </c>
      <c r="AF612">
        <v>156</v>
      </c>
      <c r="AG612">
        <v>22</v>
      </c>
      <c r="AH612">
        <f>fpl_player_statistics_cleaned[[#This Row],[Total Points]] / fpl_player_statistics_cleaned[[#This Row],[Now Cost]]</f>
        <v>0</v>
      </c>
      <c r="AI612">
        <f>fpl_player_statistics_cleaned[[#This Row],[Goals Scored]] + fpl_player_statistics_cleaned[[#This Row],[Assists]]</f>
        <v>0</v>
      </c>
      <c r="AJ612" t="e">
        <f>fpl_player_statistics_cleaned[[#This Row],[Total Points]] / fpl_player_statistics_cleaned[[#This Row],[Starts]]</f>
        <v>#DIV/0!</v>
      </c>
      <c r="AK612">
        <f>((fpl_player_statistics_cleaned[[#This Row],[Points Per Game]]) * fpl_player_statistics_cleaned[[#This Row],[Form]]) / fpl_player_statistics_cleaned[[#This Row],[Now Cost]]</f>
        <v>0</v>
      </c>
      <c r="AL612" t="e">
        <f>fpl_player_statistics_cleaned[[#This Row],[Minutes]] / fpl_player_statistics_cleaned[[#This Row],[Total Points]]</f>
        <v>#DIV/0!</v>
      </c>
      <c r="AM61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13" spans="1:39" x14ac:dyDescent="0.2">
      <c r="A613" t="s">
        <v>704</v>
      </c>
      <c r="B613" t="s">
        <v>57</v>
      </c>
      <c r="C613" t="s">
        <v>38</v>
      </c>
      <c r="D613">
        <v>4.3</v>
      </c>
      <c r="E613">
        <v>0</v>
      </c>
      <c r="F613">
        <v>0</v>
      </c>
      <c r="G613">
        <v>0.1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 t="s">
        <v>1000</v>
      </c>
      <c r="Z613">
        <v>597</v>
      </c>
      <c r="AA613">
        <v>149</v>
      </c>
      <c r="AB613">
        <v>522</v>
      </c>
      <c r="AC613">
        <v>215</v>
      </c>
      <c r="AD613">
        <v>572</v>
      </c>
      <c r="AE613">
        <v>227</v>
      </c>
      <c r="AF613">
        <v>554</v>
      </c>
      <c r="AG613">
        <v>198</v>
      </c>
      <c r="AH613">
        <f>fpl_player_statistics_cleaned[[#This Row],[Total Points]] / fpl_player_statistics_cleaned[[#This Row],[Now Cost]]</f>
        <v>0</v>
      </c>
      <c r="AI613">
        <f>fpl_player_statistics_cleaned[[#This Row],[Goals Scored]] + fpl_player_statistics_cleaned[[#This Row],[Assists]]</f>
        <v>0</v>
      </c>
      <c r="AJ613" t="e">
        <f>fpl_player_statistics_cleaned[[#This Row],[Total Points]] / fpl_player_statistics_cleaned[[#This Row],[Starts]]</f>
        <v>#DIV/0!</v>
      </c>
      <c r="AK613">
        <f>((fpl_player_statistics_cleaned[[#This Row],[Points Per Game]]) * fpl_player_statistics_cleaned[[#This Row],[Form]]) / fpl_player_statistics_cleaned[[#This Row],[Now Cost]]</f>
        <v>0</v>
      </c>
      <c r="AL613" t="e">
        <f>fpl_player_statistics_cleaned[[#This Row],[Minutes]] / fpl_player_statistics_cleaned[[#This Row],[Total Points]]</f>
        <v>#DIV/0!</v>
      </c>
      <c r="AM61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14" spans="1:39" hidden="1" x14ac:dyDescent="0.2">
      <c r="A614" t="s">
        <v>705</v>
      </c>
      <c r="B614" t="s">
        <v>57</v>
      </c>
      <c r="C614" t="s">
        <v>41</v>
      </c>
      <c r="D614">
        <v>4.5</v>
      </c>
      <c r="E614">
        <v>0</v>
      </c>
      <c r="F614">
        <v>0</v>
      </c>
      <c r="G614">
        <v>0.1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 t="s">
        <v>706</v>
      </c>
      <c r="Z614">
        <v>428</v>
      </c>
      <c r="AA614">
        <v>254</v>
      </c>
      <c r="AB614">
        <v>595</v>
      </c>
      <c r="AC614">
        <v>226</v>
      </c>
      <c r="AD614">
        <v>638</v>
      </c>
      <c r="AE614">
        <v>252</v>
      </c>
      <c r="AF614">
        <v>543</v>
      </c>
      <c r="AG614">
        <v>199</v>
      </c>
    </row>
    <row r="615" spans="1:39" x14ac:dyDescent="0.2">
      <c r="A615" t="s">
        <v>707</v>
      </c>
      <c r="B615" t="s">
        <v>49</v>
      </c>
      <c r="C615" t="s">
        <v>55</v>
      </c>
      <c r="D615">
        <v>3.9</v>
      </c>
      <c r="E615">
        <v>0</v>
      </c>
      <c r="F615">
        <v>0</v>
      </c>
      <c r="G615">
        <v>0.3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t="s">
        <v>1000</v>
      </c>
      <c r="Z615">
        <v>696</v>
      </c>
      <c r="AA615">
        <v>74</v>
      </c>
      <c r="AB615">
        <v>387</v>
      </c>
      <c r="AC615">
        <v>22</v>
      </c>
      <c r="AD615">
        <v>449</v>
      </c>
      <c r="AE615">
        <v>29</v>
      </c>
      <c r="AF615">
        <v>320</v>
      </c>
      <c r="AG615">
        <v>46</v>
      </c>
      <c r="AH615">
        <f>fpl_player_statistics_cleaned[[#This Row],[Total Points]] / fpl_player_statistics_cleaned[[#This Row],[Now Cost]]</f>
        <v>0</v>
      </c>
      <c r="AI615">
        <f>fpl_player_statistics_cleaned[[#This Row],[Goals Scored]] + fpl_player_statistics_cleaned[[#This Row],[Assists]]</f>
        <v>0</v>
      </c>
      <c r="AJ615" t="e">
        <f>fpl_player_statistics_cleaned[[#This Row],[Total Points]] / fpl_player_statistics_cleaned[[#This Row],[Starts]]</f>
        <v>#DIV/0!</v>
      </c>
      <c r="AK615">
        <f>((fpl_player_statistics_cleaned[[#This Row],[Points Per Game]]) * fpl_player_statistics_cleaned[[#This Row],[Form]]) / fpl_player_statistics_cleaned[[#This Row],[Now Cost]]</f>
        <v>0</v>
      </c>
      <c r="AL615" t="e">
        <f>fpl_player_statistics_cleaned[[#This Row],[Minutes]] / fpl_player_statistics_cleaned[[#This Row],[Total Points]]</f>
        <v>#DIV/0!</v>
      </c>
      <c r="AM61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16" spans="1:39" x14ac:dyDescent="0.2">
      <c r="A616" t="s">
        <v>708</v>
      </c>
      <c r="B616" t="s">
        <v>57</v>
      </c>
      <c r="C616" t="s">
        <v>41</v>
      </c>
      <c r="D616">
        <v>4.4000000000000004</v>
      </c>
      <c r="E616">
        <v>0</v>
      </c>
      <c r="F616">
        <v>0</v>
      </c>
      <c r="G616">
        <v>0.1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 t="s">
        <v>1000</v>
      </c>
      <c r="Z616">
        <v>550</v>
      </c>
      <c r="AA616">
        <v>317</v>
      </c>
      <c r="AB616">
        <v>562</v>
      </c>
      <c r="AC616">
        <v>204</v>
      </c>
      <c r="AD616">
        <v>607</v>
      </c>
      <c r="AE616">
        <v>231</v>
      </c>
      <c r="AF616">
        <v>513</v>
      </c>
      <c r="AG616">
        <v>180</v>
      </c>
      <c r="AH616">
        <f>fpl_player_statistics_cleaned[[#This Row],[Total Points]] / fpl_player_statistics_cleaned[[#This Row],[Now Cost]]</f>
        <v>0</v>
      </c>
      <c r="AI616">
        <f>fpl_player_statistics_cleaned[[#This Row],[Goals Scored]] + fpl_player_statistics_cleaned[[#This Row],[Assists]]</f>
        <v>0</v>
      </c>
      <c r="AJ616" t="e">
        <f>fpl_player_statistics_cleaned[[#This Row],[Total Points]] / fpl_player_statistics_cleaned[[#This Row],[Starts]]</f>
        <v>#DIV/0!</v>
      </c>
      <c r="AK616">
        <f>((fpl_player_statistics_cleaned[[#This Row],[Points Per Game]]) * fpl_player_statistics_cleaned[[#This Row],[Form]]) / fpl_player_statistics_cleaned[[#This Row],[Now Cost]]</f>
        <v>0</v>
      </c>
      <c r="AL616" t="e">
        <f>fpl_player_statistics_cleaned[[#This Row],[Minutes]] / fpl_player_statistics_cleaned[[#This Row],[Total Points]]</f>
        <v>#DIV/0!</v>
      </c>
      <c r="AM61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17" spans="1:39" hidden="1" x14ac:dyDescent="0.2">
      <c r="A617" t="s">
        <v>988</v>
      </c>
      <c r="B617" t="s">
        <v>43</v>
      </c>
      <c r="C617" t="s">
        <v>41</v>
      </c>
      <c r="D617">
        <v>4.5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 t="s">
        <v>709</v>
      </c>
      <c r="Z617">
        <v>449</v>
      </c>
      <c r="AA617">
        <v>269</v>
      </c>
      <c r="AB617">
        <v>610</v>
      </c>
      <c r="AC617">
        <v>240</v>
      </c>
      <c r="AD617">
        <v>653</v>
      </c>
      <c r="AE617">
        <v>266</v>
      </c>
      <c r="AF617">
        <v>714</v>
      </c>
      <c r="AG617">
        <v>312</v>
      </c>
    </row>
    <row r="618" spans="1:39" x14ac:dyDescent="0.2">
      <c r="A618" t="s">
        <v>710</v>
      </c>
      <c r="B618" t="s">
        <v>57</v>
      </c>
      <c r="C618" t="s">
        <v>55</v>
      </c>
      <c r="D618">
        <v>4.4000000000000004</v>
      </c>
      <c r="E618">
        <v>0</v>
      </c>
      <c r="F618">
        <v>0</v>
      </c>
      <c r="G618">
        <v>0.1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 t="s">
        <v>1000</v>
      </c>
      <c r="Z618">
        <v>508</v>
      </c>
      <c r="AA618">
        <v>26</v>
      </c>
      <c r="AB618">
        <v>534</v>
      </c>
      <c r="AC618">
        <v>74</v>
      </c>
      <c r="AD618">
        <v>581</v>
      </c>
      <c r="AE618">
        <v>79</v>
      </c>
      <c r="AF618">
        <v>442</v>
      </c>
      <c r="AG618">
        <v>69</v>
      </c>
      <c r="AH618">
        <f>fpl_player_statistics_cleaned[[#This Row],[Total Points]] / fpl_player_statistics_cleaned[[#This Row],[Now Cost]]</f>
        <v>0</v>
      </c>
      <c r="AI618">
        <f>fpl_player_statistics_cleaned[[#This Row],[Goals Scored]] + fpl_player_statistics_cleaned[[#This Row],[Assists]]</f>
        <v>0</v>
      </c>
      <c r="AJ618" t="e">
        <f>fpl_player_statistics_cleaned[[#This Row],[Total Points]] / fpl_player_statistics_cleaned[[#This Row],[Starts]]</f>
        <v>#DIV/0!</v>
      </c>
      <c r="AK618">
        <f>((fpl_player_statistics_cleaned[[#This Row],[Points Per Game]]) * fpl_player_statistics_cleaned[[#This Row],[Form]]) / fpl_player_statistics_cleaned[[#This Row],[Now Cost]]</f>
        <v>0</v>
      </c>
      <c r="AL618" t="e">
        <f>fpl_player_statistics_cleaned[[#This Row],[Minutes]] / fpl_player_statistics_cleaned[[#This Row],[Total Points]]</f>
        <v>#DIV/0!</v>
      </c>
      <c r="AM61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19" spans="1:39" x14ac:dyDescent="0.2">
      <c r="A619" t="s">
        <v>711</v>
      </c>
      <c r="B619" t="s">
        <v>43</v>
      </c>
      <c r="C619" t="s">
        <v>41</v>
      </c>
      <c r="D619">
        <v>4.5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 t="s">
        <v>1000</v>
      </c>
      <c r="Z619">
        <v>445</v>
      </c>
      <c r="AA619">
        <v>265</v>
      </c>
      <c r="AB619">
        <v>607</v>
      </c>
      <c r="AC619">
        <v>237</v>
      </c>
      <c r="AD619">
        <v>650</v>
      </c>
      <c r="AE619">
        <v>263</v>
      </c>
      <c r="AF619">
        <v>581</v>
      </c>
      <c r="AG619">
        <v>220</v>
      </c>
      <c r="AH619">
        <f>fpl_player_statistics_cleaned[[#This Row],[Total Points]] / fpl_player_statistics_cleaned[[#This Row],[Now Cost]]</f>
        <v>0</v>
      </c>
      <c r="AI619">
        <f>fpl_player_statistics_cleaned[[#This Row],[Goals Scored]] + fpl_player_statistics_cleaned[[#This Row],[Assists]]</f>
        <v>0</v>
      </c>
      <c r="AJ619" t="e">
        <f>fpl_player_statistics_cleaned[[#This Row],[Total Points]] / fpl_player_statistics_cleaned[[#This Row],[Starts]]</f>
        <v>#DIV/0!</v>
      </c>
      <c r="AK619">
        <f>((fpl_player_statistics_cleaned[[#This Row],[Points Per Game]]) * fpl_player_statistics_cleaned[[#This Row],[Form]]) / fpl_player_statistics_cleaned[[#This Row],[Now Cost]]</f>
        <v>0</v>
      </c>
      <c r="AL619" t="e">
        <f>fpl_player_statistics_cleaned[[#This Row],[Minutes]] / fpl_player_statistics_cleaned[[#This Row],[Total Points]]</f>
        <v>#DIV/0!</v>
      </c>
      <c r="AM61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20" spans="1:39" hidden="1" x14ac:dyDescent="0.2">
      <c r="A620" t="s">
        <v>712</v>
      </c>
      <c r="B620" t="s">
        <v>43</v>
      </c>
      <c r="C620" t="s">
        <v>41</v>
      </c>
      <c r="D620">
        <v>4.5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 t="s">
        <v>713</v>
      </c>
      <c r="Z620">
        <v>462</v>
      </c>
      <c r="AA620">
        <v>279</v>
      </c>
      <c r="AB620">
        <v>620</v>
      </c>
      <c r="AC620">
        <v>248</v>
      </c>
      <c r="AD620">
        <v>663</v>
      </c>
      <c r="AE620">
        <v>274</v>
      </c>
      <c r="AF620">
        <v>662</v>
      </c>
      <c r="AG620">
        <v>278</v>
      </c>
    </row>
    <row r="621" spans="1:39" hidden="1" x14ac:dyDescent="0.2">
      <c r="A621" t="s">
        <v>714</v>
      </c>
      <c r="B621" t="s">
        <v>49</v>
      </c>
      <c r="C621" t="s">
        <v>41</v>
      </c>
      <c r="D621">
        <v>5.9</v>
      </c>
      <c r="E621">
        <v>0</v>
      </c>
      <c r="F621">
        <v>0</v>
      </c>
      <c r="G621">
        <v>0.1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 t="s">
        <v>715</v>
      </c>
      <c r="Z621">
        <v>102</v>
      </c>
      <c r="AA621">
        <v>69</v>
      </c>
      <c r="AB621">
        <v>732</v>
      </c>
      <c r="AC621">
        <v>323</v>
      </c>
      <c r="AD621">
        <v>741</v>
      </c>
      <c r="AE621">
        <v>328</v>
      </c>
      <c r="AF621">
        <v>538</v>
      </c>
      <c r="AG621">
        <v>195</v>
      </c>
    </row>
    <row r="622" spans="1:39" hidden="1" x14ac:dyDescent="0.2">
      <c r="A622" t="s">
        <v>716</v>
      </c>
      <c r="B622" t="s">
        <v>49</v>
      </c>
      <c r="C622" t="s">
        <v>41</v>
      </c>
      <c r="D622">
        <v>7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 t="s">
        <v>717</v>
      </c>
      <c r="Z622">
        <v>33</v>
      </c>
      <c r="AA622">
        <v>19</v>
      </c>
      <c r="AB622">
        <v>743</v>
      </c>
      <c r="AC622">
        <v>330</v>
      </c>
      <c r="AD622">
        <v>749</v>
      </c>
      <c r="AE622">
        <v>332</v>
      </c>
      <c r="AF622">
        <v>669</v>
      </c>
      <c r="AG622">
        <v>284</v>
      </c>
    </row>
    <row r="623" spans="1:39" x14ac:dyDescent="0.2">
      <c r="A623" t="s">
        <v>718</v>
      </c>
      <c r="B623" t="s">
        <v>43</v>
      </c>
      <c r="C623" t="s">
        <v>35</v>
      </c>
      <c r="D623">
        <v>4.5</v>
      </c>
      <c r="E623">
        <v>0</v>
      </c>
      <c r="F623">
        <v>0</v>
      </c>
      <c r="G623">
        <v>0.3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 t="s">
        <v>1000</v>
      </c>
      <c r="Z623">
        <v>467</v>
      </c>
      <c r="AA623">
        <v>64</v>
      </c>
      <c r="AB623">
        <v>625</v>
      </c>
      <c r="AC623">
        <v>66</v>
      </c>
      <c r="AD623">
        <v>668</v>
      </c>
      <c r="AE623">
        <v>71</v>
      </c>
      <c r="AF623">
        <v>302</v>
      </c>
      <c r="AG623">
        <v>49</v>
      </c>
      <c r="AH623">
        <f>fpl_player_statistics_cleaned[[#This Row],[Total Points]] / fpl_player_statistics_cleaned[[#This Row],[Now Cost]]</f>
        <v>0</v>
      </c>
      <c r="AI623">
        <f>fpl_player_statistics_cleaned[[#This Row],[Goals Scored]] + fpl_player_statistics_cleaned[[#This Row],[Assists]]</f>
        <v>0</v>
      </c>
      <c r="AJ623" t="e">
        <f>fpl_player_statistics_cleaned[[#This Row],[Total Points]] / fpl_player_statistics_cleaned[[#This Row],[Starts]]</f>
        <v>#DIV/0!</v>
      </c>
      <c r="AK623">
        <f>((fpl_player_statistics_cleaned[[#This Row],[Points Per Game]]) * fpl_player_statistics_cleaned[[#This Row],[Form]]) / fpl_player_statistics_cleaned[[#This Row],[Now Cost]]</f>
        <v>0</v>
      </c>
      <c r="AL623" t="e">
        <f>fpl_player_statistics_cleaned[[#This Row],[Minutes]] / fpl_player_statistics_cleaned[[#This Row],[Total Points]]</f>
        <v>#DIV/0!</v>
      </c>
      <c r="AM62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24" spans="1:39" hidden="1" x14ac:dyDescent="0.2">
      <c r="A624" t="s">
        <v>719</v>
      </c>
      <c r="B624" t="s">
        <v>43</v>
      </c>
      <c r="C624" t="s">
        <v>41</v>
      </c>
      <c r="D624">
        <v>4.4000000000000004</v>
      </c>
      <c r="E624">
        <v>0</v>
      </c>
      <c r="F624">
        <v>0</v>
      </c>
      <c r="G624">
        <v>0.4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t="s">
        <v>74</v>
      </c>
      <c r="Z624">
        <v>558</v>
      </c>
      <c r="AA624">
        <v>321</v>
      </c>
      <c r="AB624">
        <v>568</v>
      </c>
      <c r="AC624">
        <v>208</v>
      </c>
      <c r="AD624">
        <v>613</v>
      </c>
      <c r="AE624">
        <v>235</v>
      </c>
      <c r="AF624">
        <v>263</v>
      </c>
      <c r="AG624">
        <v>92</v>
      </c>
    </row>
    <row r="625" spans="1:39" x14ac:dyDescent="0.2">
      <c r="A625" t="s">
        <v>720</v>
      </c>
      <c r="B625" t="s">
        <v>49</v>
      </c>
      <c r="C625" t="s">
        <v>38</v>
      </c>
      <c r="D625">
        <v>3.9</v>
      </c>
      <c r="E625">
        <v>0</v>
      </c>
      <c r="F625">
        <v>0</v>
      </c>
      <c r="G625">
        <v>0.3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t="s">
        <v>1000</v>
      </c>
      <c r="Z625">
        <v>707</v>
      </c>
      <c r="AA625">
        <v>212</v>
      </c>
      <c r="AB625">
        <v>397</v>
      </c>
      <c r="AC625">
        <v>141</v>
      </c>
      <c r="AD625">
        <v>455</v>
      </c>
      <c r="AE625">
        <v>159</v>
      </c>
      <c r="AF625">
        <v>294</v>
      </c>
      <c r="AG625">
        <v>106</v>
      </c>
      <c r="AH625">
        <f>fpl_player_statistics_cleaned[[#This Row],[Total Points]] / fpl_player_statistics_cleaned[[#This Row],[Now Cost]]</f>
        <v>0</v>
      </c>
      <c r="AI625">
        <f>fpl_player_statistics_cleaned[[#This Row],[Goals Scored]] + fpl_player_statistics_cleaned[[#This Row],[Assists]]</f>
        <v>0</v>
      </c>
      <c r="AJ625" t="e">
        <f>fpl_player_statistics_cleaned[[#This Row],[Total Points]] / fpl_player_statistics_cleaned[[#This Row],[Starts]]</f>
        <v>#DIV/0!</v>
      </c>
      <c r="AK625">
        <f>((fpl_player_statistics_cleaned[[#This Row],[Points Per Game]]) * fpl_player_statistics_cleaned[[#This Row],[Form]]) / fpl_player_statistics_cleaned[[#This Row],[Now Cost]]</f>
        <v>0</v>
      </c>
      <c r="AL625" t="e">
        <f>fpl_player_statistics_cleaned[[#This Row],[Minutes]] / fpl_player_statistics_cleaned[[#This Row],[Total Points]]</f>
        <v>#DIV/0!</v>
      </c>
      <c r="AM62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26" spans="1:39" x14ac:dyDescent="0.2">
      <c r="A626" t="s">
        <v>721</v>
      </c>
      <c r="B626" t="s">
        <v>49</v>
      </c>
      <c r="C626" t="s">
        <v>38</v>
      </c>
      <c r="D626">
        <v>3.9</v>
      </c>
      <c r="E626">
        <v>0</v>
      </c>
      <c r="F626">
        <v>0</v>
      </c>
      <c r="G626">
        <v>0.1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t="s">
        <v>1000</v>
      </c>
      <c r="Z626">
        <v>735</v>
      </c>
      <c r="AA626">
        <v>233</v>
      </c>
      <c r="AB626">
        <v>423</v>
      </c>
      <c r="AC626">
        <v>160</v>
      </c>
      <c r="AD626">
        <v>480</v>
      </c>
      <c r="AE626">
        <v>177</v>
      </c>
      <c r="AF626">
        <v>430</v>
      </c>
      <c r="AG626">
        <v>157</v>
      </c>
      <c r="AH626">
        <f>fpl_player_statistics_cleaned[[#This Row],[Total Points]] / fpl_player_statistics_cleaned[[#This Row],[Now Cost]]</f>
        <v>0</v>
      </c>
      <c r="AI626">
        <f>fpl_player_statistics_cleaned[[#This Row],[Goals Scored]] + fpl_player_statistics_cleaned[[#This Row],[Assists]]</f>
        <v>0</v>
      </c>
      <c r="AJ626" t="e">
        <f>fpl_player_statistics_cleaned[[#This Row],[Total Points]] / fpl_player_statistics_cleaned[[#This Row],[Starts]]</f>
        <v>#DIV/0!</v>
      </c>
      <c r="AK626">
        <f>((fpl_player_statistics_cleaned[[#This Row],[Points Per Game]]) * fpl_player_statistics_cleaned[[#This Row],[Form]]) / fpl_player_statistics_cleaned[[#This Row],[Now Cost]]</f>
        <v>0</v>
      </c>
      <c r="AL626" t="e">
        <f>fpl_player_statistics_cleaned[[#This Row],[Minutes]] / fpl_player_statistics_cleaned[[#This Row],[Total Points]]</f>
        <v>#DIV/0!</v>
      </c>
      <c r="AM62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27" spans="1:39" hidden="1" x14ac:dyDescent="0.2">
      <c r="A627" t="s">
        <v>722</v>
      </c>
      <c r="B627" t="s">
        <v>49</v>
      </c>
      <c r="C627" t="s">
        <v>38</v>
      </c>
      <c r="D627">
        <v>4.8</v>
      </c>
      <c r="E627">
        <v>0</v>
      </c>
      <c r="F627">
        <v>0</v>
      </c>
      <c r="G627">
        <v>0.1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t="s">
        <v>429</v>
      </c>
      <c r="Z627">
        <v>360</v>
      </c>
      <c r="AA627">
        <v>61</v>
      </c>
      <c r="AB627">
        <v>651</v>
      </c>
      <c r="AC627">
        <v>235</v>
      </c>
      <c r="AD627">
        <v>686</v>
      </c>
      <c r="AE627">
        <v>242</v>
      </c>
      <c r="AF627">
        <v>508</v>
      </c>
      <c r="AG627">
        <v>185</v>
      </c>
    </row>
    <row r="628" spans="1:39" hidden="1" x14ac:dyDescent="0.2">
      <c r="A628" t="s">
        <v>723</v>
      </c>
      <c r="B628" t="s">
        <v>49</v>
      </c>
      <c r="C628" t="s">
        <v>38</v>
      </c>
      <c r="D628">
        <v>4</v>
      </c>
      <c r="E628">
        <v>0</v>
      </c>
      <c r="F628">
        <v>0</v>
      </c>
      <c r="G628">
        <v>0.1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t="s">
        <v>724</v>
      </c>
      <c r="Z628">
        <v>685</v>
      </c>
      <c r="AA628">
        <v>196</v>
      </c>
      <c r="AB628">
        <v>493</v>
      </c>
      <c r="AC628">
        <v>197</v>
      </c>
      <c r="AD628">
        <v>548</v>
      </c>
      <c r="AE628">
        <v>212</v>
      </c>
      <c r="AF628">
        <v>492</v>
      </c>
      <c r="AG628">
        <v>179</v>
      </c>
    </row>
    <row r="629" spans="1:39" x14ac:dyDescent="0.2">
      <c r="A629" t="s">
        <v>725</v>
      </c>
      <c r="B629" t="s">
        <v>57</v>
      </c>
      <c r="C629" t="s">
        <v>55</v>
      </c>
      <c r="D629">
        <v>3.9</v>
      </c>
      <c r="E629">
        <v>0</v>
      </c>
      <c r="F629">
        <v>0</v>
      </c>
      <c r="G629">
        <v>0.1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t="s">
        <v>1000</v>
      </c>
      <c r="Z629">
        <v>715</v>
      </c>
      <c r="AA629">
        <v>79</v>
      </c>
      <c r="AB629">
        <v>403</v>
      </c>
      <c r="AC629">
        <v>27</v>
      </c>
      <c r="AD629">
        <v>461</v>
      </c>
      <c r="AE629">
        <v>34</v>
      </c>
      <c r="AF629">
        <v>449</v>
      </c>
      <c r="AG629">
        <v>71</v>
      </c>
      <c r="AH629">
        <f>fpl_player_statistics_cleaned[[#This Row],[Total Points]] / fpl_player_statistics_cleaned[[#This Row],[Now Cost]]</f>
        <v>0</v>
      </c>
      <c r="AI629">
        <f>fpl_player_statistics_cleaned[[#This Row],[Goals Scored]] + fpl_player_statistics_cleaned[[#This Row],[Assists]]</f>
        <v>0</v>
      </c>
      <c r="AJ629" t="e">
        <f>fpl_player_statistics_cleaned[[#This Row],[Total Points]] / fpl_player_statistics_cleaned[[#This Row],[Starts]]</f>
        <v>#DIV/0!</v>
      </c>
      <c r="AK629">
        <f>((fpl_player_statistics_cleaned[[#This Row],[Points Per Game]]) * fpl_player_statistics_cleaned[[#This Row],[Form]]) / fpl_player_statistics_cleaned[[#This Row],[Now Cost]]</f>
        <v>0</v>
      </c>
      <c r="AL629" t="e">
        <f>fpl_player_statistics_cleaned[[#This Row],[Minutes]] / fpl_player_statistics_cleaned[[#This Row],[Total Points]]</f>
        <v>#DIV/0!</v>
      </c>
      <c r="AM62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30" spans="1:39" hidden="1" x14ac:dyDescent="0.2">
      <c r="A630" t="s">
        <v>726</v>
      </c>
      <c r="B630" t="s">
        <v>57</v>
      </c>
      <c r="C630" t="s">
        <v>38</v>
      </c>
      <c r="D630">
        <v>5.3</v>
      </c>
      <c r="E630">
        <v>0</v>
      </c>
      <c r="F630">
        <v>0</v>
      </c>
      <c r="G630">
        <v>0.2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t="s">
        <v>378</v>
      </c>
      <c r="Z630">
        <v>205</v>
      </c>
      <c r="AA630">
        <v>28</v>
      </c>
      <c r="AB630">
        <v>706</v>
      </c>
      <c r="AC630">
        <v>244</v>
      </c>
      <c r="AD630">
        <v>726</v>
      </c>
      <c r="AE630">
        <v>247</v>
      </c>
      <c r="AF630">
        <v>395</v>
      </c>
      <c r="AG630">
        <v>146</v>
      </c>
    </row>
    <row r="631" spans="1:39" hidden="1" x14ac:dyDescent="0.2">
      <c r="A631" t="s">
        <v>727</v>
      </c>
      <c r="B631" t="s">
        <v>57</v>
      </c>
      <c r="C631" t="s">
        <v>38</v>
      </c>
      <c r="D631">
        <v>4.4000000000000004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t="s">
        <v>728</v>
      </c>
      <c r="Z631">
        <v>514</v>
      </c>
      <c r="AA631">
        <v>122</v>
      </c>
      <c r="AB631">
        <v>537</v>
      </c>
      <c r="AC631">
        <v>223</v>
      </c>
      <c r="AD631">
        <v>584</v>
      </c>
      <c r="AE631">
        <v>233</v>
      </c>
      <c r="AF631">
        <v>672</v>
      </c>
      <c r="AG631">
        <v>227</v>
      </c>
    </row>
    <row r="632" spans="1:39" x14ac:dyDescent="0.2">
      <c r="A632" t="s">
        <v>729</v>
      </c>
      <c r="B632" t="s">
        <v>57</v>
      </c>
      <c r="C632" t="s">
        <v>38</v>
      </c>
      <c r="D632">
        <v>3.9</v>
      </c>
      <c r="E632">
        <v>0</v>
      </c>
      <c r="F632">
        <v>0</v>
      </c>
      <c r="G632">
        <v>0.2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t="s">
        <v>1000</v>
      </c>
      <c r="Z632">
        <v>724</v>
      </c>
      <c r="AA632">
        <v>223</v>
      </c>
      <c r="AB632">
        <v>412</v>
      </c>
      <c r="AC632">
        <v>150</v>
      </c>
      <c r="AD632">
        <v>470</v>
      </c>
      <c r="AE632">
        <v>168</v>
      </c>
      <c r="AF632">
        <v>376</v>
      </c>
      <c r="AG632">
        <v>135</v>
      </c>
      <c r="AH632">
        <f>fpl_player_statistics_cleaned[[#This Row],[Total Points]] / fpl_player_statistics_cleaned[[#This Row],[Now Cost]]</f>
        <v>0</v>
      </c>
      <c r="AI632">
        <f>fpl_player_statistics_cleaned[[#This Row],[Goals Scored]] + fpl_player_statistics_cleaned[[#This Row],[Assists]]</f>
        <v>0</v>
      </c>
      <c r="AJ632" t="e">
        <f>fpl_player_statistics_cleaned[[#This Row],[Total Points]] / fpl_player_statistics_cleaned[[#This Row],[Starts]]</f>
        <v>#DIV/0!</v>
      </c>
      <c r="AK632">
        <f>((fpl_player_statistics_cleaned[[#This Row],[Points Per Game]]) * fpl_player_statistics_cleaned[[#This Row],[Form]]) / fpl_player_statistics_cleaned[[#This Row],[Now Cost]]</f>
        <v>0</v>
      </c>
      <c r="AL632" t="e">
        <f>fpl_player_statistics_cleaned[[#This Row],[Minutes]] / fpl_player_statistics_cleaned[[#This Row],[Total Points]]</f>
        <v>#DIV/0!</v>
      </c>
      <c r="AM63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33" spans="1:39" x14ac:dyDescent="0.2">
      <c r="A633" t="s">
        <v>730</v>
      </c>
      <c r="B633" t="s">
        <v>57</v>
      </c>
      <c r="C633" t="s">
        <v>38</v>
      </c>
      <c r="D633">
        <v>3.9</v>
      </c>
      <c r="E633">
        <v>0</v>
      </c>
      <c r="F633">
        <v>0</v>
      </c>
      <c r="G633">
        <v>0.1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t="s">
        <v>1000</v>
      </c>
      <c r="Z633">
        <v>719</v>
      </c>
      <c r="AA633">
        <v>221</v>
      </c>
      <c r="AB633">
        <v>407</v>
      </c>
      <c r="AC633">
        <v>148</v>
      </c>
      <c r="AD633">
        <v>465</v>
      </c>
      <c r="AE633">
        <v>166</v>
      </c>
      <c r="AF633">
        <v>410</v>
      </c>
      <c r="AG633">
        <v>152</v>
      </c>
      <c r="AH633">
        <f>fpl_player_statistics_cleaned[[#This Row],[Total Points]] / fpl_player_statistics_cleaned[[#This Row],[Now Cost]]</f>
        <v>0</v>
      </c>
      <c r="AI633">
        <f>fpl_player_statistics_cleaned[[#This Row],[Goals Scored]] + fpl_player_statistics_cleaned[[#This Row],[Assists]]</f>
        <v>0</v>
      </c>
      <c r="AJ633" t="e">
        <f>fpl_player_statistics_cleaned[[#This Row],[Total Points]] / fpl_player_statistics_cleaned[[#This Row],[Starts]]</f>
        <v>#DIV/0!</v>
      </c>
      <c r="AK633">
        <f>((fpl_player_statistics_cleaned[[#This Row],[Points Per Game]]) * fpl_player_statistics_cleaned[[#This Row],[Form]]) / fpl_player_statistics_cleaned[[#This Row],[Now Cost]]</f>
        <v>0</v>
      </c>
      <c r="AL633" t="e">
        <f>fpl_player_statistics_cleaned[[#This Row],[Minutes]] / fpl_player_statistics_cleaned[[#This Row],[Total Points]]</f>
        <v>#DIV/0!</v>
      </c>
      <c r="AM63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34" spans="1:39" x14ac:dyDescent="0.2">
      <c r="A634" t="s">
        <v>731</v>
      </c>
      <c r="B634" t="s">
        <v>49</v>
      </c>
      <c r="C634" t="s">
        <v>38</v>
      </c>
      <c r="D634">
        <v>4.2</v>
      </c>
      <c r="E634">
        <v>0</v>
      </c>
      <c r="F634">
        <v>0</v>
      </c>
      <c r="G634">
        <v>0.1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t="s">
        <v>1000</v>
      </c>
      <c r="Z634">
        <v>613</v>
      </c>
      <c r="AA634">
        <v>158</v>
      </c>
      <c r="AB634">
        <v>505</v>
      </c>
      <c r="AC634">
        <v>207</v>
      </c>
      <c r="AD634">
        <v>560</v>
      </c>
      <c r="AE634">
        <v>222</v>
      </c>
      <c r="AF634">
        <v>556</v>
      </c>
      <c r="AG634">
        <v>199</v>
      </c>
      <c r="AH634">
        <f>fpl_player_statistics_cleaned[[#This Row],[Total Points]] / fpl_player_statistics_cleaned[[#This Row],[Now Cost]]</f>
        <v>0</v>
      </c>
      <c r="AI634">
        <f>fpl_player_statistics_cleaned[[#This Row],[Goals Scored]] + fpl_player_statistics_cleaned[[#This Row],[Assists]]</f>
        <v>0</v>
      </c>
      <c r="AJ634" t="e">
        <f>fpl_player_statistics_cleaned[[#This Row],[Total Points]] / fpl_player_statistics_cleaned[[#This Row],[Starts]]</f>
        <v>#DIV/0!</v>
      </c>
      <c r="AK634">
        <f>((fpl_player_statistics_cleaned[[#This Row],[Points Per Game]]) * fpl_player_statistics_cleaned[[#This Row],[Form]]) / fpl_player_statistics_cleaned[[#This Row],[Now Cost]]</f>
        <v>0</v>
      </c>
      <c r="AL634" t="e">
        <f>fpl_player_statistics_cleaned[[#This Row],[Minutes]] / fpl_player_statistics_cleaned[[#This Row],[Total Points]]</f>
        <v>#DIV/0!</v>
      </c>
      <c r="AM63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35" spans="1:39" x14ac:dyDescent="0.2">
      <c r="A635" t="s">
        <v>732</v>
      </c>
      <c r="B635" t="s">
        <v>57</v>
      </c>
      <c r="C635" t="s">
        <v>38</v>
      </c>
      <c r="D635">
        <v>3.9</v>
      </c>
      <c r="E635">
        <v>0</v>
      </c>
      <c r="F635">
        <v>0</v>
      </c>
      <c r="G635">
        <v>0.2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t="s">
        <v>1000</v>
      </c>
      <c r="Z635">
        <v>723</v>
      </c>
      <c r="AA635">
        <v>222</v>
      </c>
      <c r="AB635">
        <v>411</v>
      </c>
      <c r="AC635">
        <v>149</v>
      </c>
      <c r="AD635">
        <v>469</v>
      </c>
      <c r="AE635">
        <v>167</v>
      </c>
      <c r="AF635">
        <v>387</v>
      </c>
      <c r="AG635">
        <v>140</v>
      </c>
      <c r="AH635">
        <f>fpl_player_statistics_cleaned[[#This Row],[Total Points]] / fpl_player_statistics_cleaned[[#This Row],[Now Cost]]</f>
        <v>0</v>
      </c>
      <c r="AI635">
        <f>fpl_player_statistics_cleaned[[#This Row],[Goals Scored]] + fpl_player_statistics_cleaned[[#This Row],[Assists]]</f>
        <v>0</v>
      </c>
      <c r="AJ635" t="e">
        <f>fpl_player_statistics_cleaned[[#This Row],[Total Points]] / fpl_player_statistics_cleaned[[#This Row],[Starts]]</f>
        <v>#DIV/0!</v>
      </c>
      <c r="AK635">
        <f>((fpl_player_statistics_cleaned[[#This Row],[Points Per Game]]) * fpl_player_statistics_cleaned[[#This Row],[Form]]) / fpl_player_statistics_cleaned[[#This Row],[Now Cost]]</f>
        <v>0</v>
      </c>
      <c r="AL635" t="e">
        <f>fpl_player_statistics_cleaned[[#This Row],[Minutes]] / fpl_player_statistics_cleaned[[#This Row],[Total Points]]</f>
        <v>#DIV/0!</v>
      </c>
      <c r="AM63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36" spans="1:39" hidden="1" x14ac:dyDescent="0.2">
      <c r="A636" t="s">
        <v>989</v>
      </c>
      <c r="B636" t="s">
        <v>34</v>
      </c>
      <c r="C636" t="s">
        <v>41</v>
      </c>
      <c r="D636">
        <v>6.3</v>
      </c>
      <c r="E636">
        <v>0</v>
      </c>
      <c r="F636">
        <v>0</v>
      </c>
      <c r="G636">
        <v>0.1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t="s">
        <v>733</v>
      </c>
      <c r="Z636">
        <v>67</v>
      </c>
      <c r="AA636">
        <v>45</v>
      </c>
      <c r="AB636">
        <v>735</v>
      </c>
      <c r="AC636">
        <v>326</v>
      </c>
      <c r="AD636">
        <v>742</v>
      </c>
      <c r="AE636">
        <v>329</v>
      </c>
      <c r="AF636">
        <v>525</v>
      </c>
      <c r="AG636">
        <v>188</v>
      </c>
    </row>
    <row r="637" spans="1:39" hidden="1" x14ac:dyDescent="0.2">
      <c r="A637" t="s">
        <v>734</v>
      </c>
      <c r="B637" t="s">
        <v>92</v>
      </c>
      <c r="C637" t="s">
        <v>55</v>
      </c>
      <c r="D637">
        <v>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t="s">
        <v>735</v>
      </c>
      <c r="Z637">
        <v>643</v>
      </c>
      <c r="AA637">
        <v>57</v>
      </c>
      <c r="AB637">
        <v>458</v>
      </c>
      <c r="AC637">
        <v>51</v>
      </c>
      <c r="AD637">
        <v>515</v>
      </c>
      <c r="AE637">
        <v>58</v>
      </c>
      <c r="AF637">
        <v>725</v>
      </c>
      <c r="AG637">
        <v>82</v>
      </c>
    </row>
    <row r="638" spans="1:39" hidden="1" x14ac:dyDescent="0.2">
      <c r="A638" t="s">
        <v>736</v>
      </c>
      <c r="B638" t="s">
        <v>63</v>
      </c>
      <c r="C638" t="s">
        <v>41</v>
      </c>
      <c r="D638">
        <v>4.4000000000000004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 t="s">
        <v>737</v>
      </c>
      <c r="Z638">
        <v>530</v>
      </c>
      <c r="AA638">
        <v>305</v>
      </c>
      <c r="AB638">
        <v>545</v>
      </c>
      <c r="AC638">
        <v>193</v>
      </c>
      <c r="AD638">
        <v>591</v>
      </c>
      <c r="AE638">
        <v>220</v>
      </c>
      <c r="AF638">
        <v>641</v>
      </c>
      <c r="AG638">
        <v>263</v>
      </c>
    </row>
    <row r="639" spans="1:39" hidden="1" x14ac:dyDescent="0.2">
      <c r="A639" t="s">
        <v>738</v>
      </c>
      <c r="B639" t="s">
        <v>100</v>
      </c>
      <c r="C639" t="s">
        <v>41</v>
      </c>
      <c r="D639">
        <v>4.5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 t="s">
        <v>739</v>
      </c>
      <c r="Z639">
        <v>430</v>
      </c>
      <c r="AA639">
        <v>256</v>
      </c>
      <c r="AB639">
        <v>597</v>
      </c>
      <c r="AC639">
        <v>228</v>
      </c>
      <c r="AD639">
        <v>640</v>
      </c>
      <c r="AE639">
        <v>254</v>
      </c>
      <c r="AF639">
        <v>700</v>
      </c>
      <c r="AG639">
        <v>302</v>
      </c>
    </row>
    <row r="640" spans="1:39" hidden="1" x14ac:dyDescent="0.2">
      <c r="A640" t="s">
        <v>740</v>
      </c>
      <c r="B640" t="s">
        <v>100</v>
      </c>
      <c r="C640" t="s">
        <v>41</v>
      </c>
      <c r="D640">
        <v>4.5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 t="s">
        <v>741</v>
      </c>
      <c r="Z640">
        <v>431</v>
      </c>
      <c r="AA640">
        <v>257</v>
      </c>
      <c r="AB640">
        <v>598</v>
      </c>
      <c r="AC640">
        <v>229</v>
      </c>
      <c r="AD640">
        <v>641</v>
      </c>
      <c r="AE640">
        <v>255</v>
      </c>
      <c r="AF640">
        <v>621</v>
      </c>
      <c r="AG640">
        <v>250</v>
      </c>
    </row>
    <row r="641" spans="1:39" hidden="1" x14ac:dyDescent="0.2">
      <c r="A641" t="s">
        <v>742</v>
      </c>
      <c r="B641" t="s">
        <v>100</v>
      </c>
      <c r="C641" t="s">
        <v>35</v>
      </c>
      <c r="D641">
        <v>4.9000000000000004</v>
      </c>
      <c r="E641">
        <v>0</v>
      </c>
      <c r="F641">
        <v>0</v>
      </c>
      <c r="G641">
        <v>0.4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 t="s">
        <v>743</v>
      </c>
      <c r="Z641">
        <v>290</v>
      </c>
      <c r="AA641">
        <v>54</v>
      </c>
      <c r="AB641">
        <v>659</v>
      </c>
      <c r="AC641">
        <v>69</v>
      </c>
      <c r="AD641">
        <v>691</v>
      </c>
      <c r="AE641">
        <v>74</v>
      </c>
      <c r="AF641">
        <v>261</v>
      </c>
      <c r="AG641">
        <v>38</v>
      </c>
    </row>
    <row r="642" spans="1:39" hidden="1" x14ac:dyDescent="0.2">
      <c r="A642" t="s">
        <v>744</v>
      </c>
      <c r="B642" t="s">
        <v>63</v>
      </c>
      <c r="C642" t="s">
        <v>35</v>
      </c>
      <c r="D642">
        <v>4.4000000000000004</v>
      </c>
      <c r="E642">
        <v>0</v>
      </c>
      <c r="F642">
        <v>0</v>
      </c>
      <c r="G642">
        <v>0.1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 t="s">
        <v>378</v>
      </c>
      <c r="Z642">
        <v>535</v>
      </c>
      <c r="AA642">
        <v>70</v>
      </c>
      <c r="AB642">
        <v>549</v>
      </c>
      <c r="AC642">
        <v>55</v>
      </c>
      <c r="AD642">
        <v>595</v>
      </c>
      <c r="AE642">
        <v>60</v>
      </c>
      <c r="AF642">
        <v>435</v>
      </c>
      <c r="AG642">
        <v>61</v>
      </c>
    </row>
    <row r="643" spans="1:39" hidden="1" x14ac:dyDescent="0.2">
      <c r="A643" t="s">
        <v>745</v>
      </c>
      <c r="B643" t="s">
        <v>63</v>
      </c>
      <c r="C643" t="s">
        <v>35</v>
      </c>
      <c r="D643">
        <v>6.5</v>
      </c>
      <c r="E643">
        <v>0</v>
      </c>
      <c r="F643">
        <v>0</v>
      </c>
      <c r="G643">
        <v>0.1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 t="s">
        <v>746</v>
      </c>
      <c r="Z643">
        <v>58</v>
      </c>
      <c r="AA643">
        <v>18</v>
      </c>
      <c r="AB643">
        <v>739</v>
      </c>
      <c r="AC643">
        <v>79</v>
      </c>
      <c r="AD643">
        <v>746</v>
      </c>
      <c r="AE643">
        <v>81</v>
      </c>
      <c r="AF643">
        <v>526</v>
      </c>
      <c r="AG643">
        <v>71</v>
      </c>
    </row>
    <row r="644" spans="1:39" x14ac:dyDescent="0.2">
      <c r="A644" t="s">
        <v>747</v>
      </c>
      <c r="B644" t="s">
        <v>63</v>
      </c>
      <c r="C644" t="s">
        <v>41</v>
      </c>
      <c r="D644">
        <v>4.3</v>
      </c>
      <c r="E644">
        <v>0</v>
      </c>
      <c r="F644">
        <v>0</v>
      </c>
      <c r="G644">
        <v>0.6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 t="s">
        <v>1000</v>
      </c>
      <c r="Z644">
        <v>604</v>
      </c>
      <c r="AA644">
        <v>333</v>
      </c>
      <c r="AB644">
        <v>525</v>
      </c>
      <c r="AC644">
        <v>186</v>
      </c>
      <c r="AD644">
        <v>574</v>
      </c>
      <c r="AE644">
        <v>214</v>
      </c>
      <c r="AF644">
        <v>228</v>
      </c>
      <c r="AG644">
        <v>79</v>
      </c>
      <c r="AH644">
        <f>fpl_player_statistics_cleaned[[#This Row],[Total Points]] / fpl_player_statistics_cleaned[[#This Row],[Now Cost]]</f>
        <v>0</v>
      </c>
      <c r="AI644">
        <f>fpl_player_statistics_cleaned[[#This Row],[Goals Scored]] + fpl_player_statistics_cleaned[[#This Row],[Assists]]</f>
        <v>0</v>
      </c>
      <c r="AJ644" t="e">
        <f>fpl_player_statistics_cleaned[[#This Row],[Total Points]] / fpl_player_statistics_cleaned[[#This Row],[Starts]]</f>
        <v>#DIV/0!</v>
      </c>
      <c r="AK644">
        <f>((fpl_player_statistics_cleaned[[#This Row],[Points Per Game]]) * fpl_player_statistics_cleaned[[#This Row],[Form]]) / fpl_player_statistics_cleaned[[#This Row],[Now Cost]]</f>
        <v>0</v>
      </c>
      <c r="AL644" t="e">
        <f>fpl_player_statistics_cleaned[[#This Row],[Minutes]] / fpl_player_statistics_cleaned[[#This Row],[Total Points]]</f>
        <v>#DIV/0!</v>
      </c>
      <c r="AM64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45" spans="1:39" hidden="1" x14ac:dyDescent="0.2">
      <c r="A645" t="s">
        <v>748</v>
      </c>
      <c r="B645" t="s">
        <v>63</v>
      </c>
      <c r="C645" t="s">
        <v>41</v>
      </c>
      <c r="D645">
        <v>4.5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 t="s">
        <v>749</v>
      </c>
      <c r="Z645">
        <v>421</v>
      </c>
      <c r="AA645">
        <v>250</v>
      </c>
      <c r="AB645">
        <v>590</v>
      </c>
      <c r="AC645">
        <v>222</v>
      </c>
      <c r="AD645">
        <v>633</v>
      </c>
      <c r="AE645">
        <v>248</v>
      </c>
      <c r="AF645">
        <v>738</v>
      </c>
      <c r="AG645">
        <v>326</v>
      </c>
    </row>
    <row r="646" spans="1:39" hidden="1" x14ac:dyDescent="0.2">
      <c r="A646" t="s">
        <v>750</v>
      </c>
      <c r="B646" t="s">
        <v>63</v>
      </c>
      <c r="C646" t="s">
        <v>41</v>
      </c>
      <c r="D646">
        <v>4.3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 t="s">
        <v>378</v>
      </c>
      <c r="Z646">
        <v>601</v>
      </c>
      <c r="AA646">
        <v>332</v>
      </c>
      <c r="AB646">
        <v>523</v>
      </c>
      <c r="AC646">
        <v>185</v>
      </c>
      <c r="AD646">
        <v>573</v>
      </c>
      <c r="AE646">
        <v>213</v>
      </c>
      <c r="AF646">
        <v>587</v>
      </c>
      <c r="AG646">
        <v>225</v>
      </c>
    </row>
    <row r="647" spans="1:39" x14ac:dyDescent="0.2">
      <c r="A647" t="s">
        <v>751</v>
      </c>
      <c r="B647" t="s">
        <v>92</v>
      </c>
      <c r="C647" t="s">
        <v>38</v>
      </c>
      <c r="D647">
        <v>3.9</v>
      </c>
      <c r="E647">
        <v>0</v>
      </c>
      <c r="F647">
        <v>0</v>
      </c>
      <c r="G647">
        <v>0.1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t="s">
        <v>1000</v>
      </c>
      <c r="Z647">
        <v>745</v>
      </c>
      <c r="AA647">
        <v>242</v>
      </c>
      <c r="AB647">
        <v>431</v>
      </c>
      <c r="AC647">
        <v>167</v>
      </c>
      <c r="AD647">
        <v>488</v>
      </c>
      <c r="AE647">
        <v>184</v>
      </c>
      <c r="AF647">
        <v>409</v>
      </c>
      <c r="AG647">
        <v>151</v>
      </c>
      <c r="AH647">
        <f>fpl_player_statistics_cleaned[[#This Row],[Total Points]] / fpl_player_statistics_cleaned[[#This Row],[Now Cost]]</f>
        <v>0</v>
      </c>
      <c r="AI647">
        <f>fpl_player_statistics_cleaned[[#This Row],[Goals Scored]] + fpl_player_statistics_cleaned[[#This Row],[Assists]]</f>
        <v>0</v>
      </c>
      <c r="AJ647" t="e">
        <f>fpl_player_statistics_cleaned[[#This Row],[Total Points]] / fpl_player_statistics_cleaned[[#This Row],[Starts]]</f>
        <v>#DIV/0!</v>
      </c>
      <c r="AK647">
        <f>((fpl_player_statistics_cleaned[[#This Row],[Points Per Game]]) * fpl_player_statistics_cleaned[[#This Row],[Form]]) / fpl_player_statistics_cleaned[[#This Row],[Now Cost]]</f>
        <v>0</v>
      </c>
      <c r="AL647" t="e">
        <f>fpl_player_statistics_cleaned[[#This Row],[Minutes]] / fpl_player_statistics_cleaned[[#This Row],[Total Points]]</f>
        <v>#DIV/0!</v>
      </c>
      <c r="AM64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48" spans="1:39" hidden="1" x14ac:dyDescent="0.2">
      <c r="A648" t="s">
        <v>752</v>
      </c>
      <c r="B648" t="s">
        <v>100</v>
      </c>
      <c r="C648" t="s">
        <v>35</v>
      </c>
      <c r="D648">
        <v>5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t="s">
        <v>753</v>
      </c>
      <c r="Z648">
        <v>284</v>
      </c>
      <c r="AA648">
        <v>53</v>
      </c>
      <c r="AB648">
        <v>693</v>
      </c>
      <c r="AC648">
        <v>74</v>
      </c>
      <c r="AD648">
        <v>719</v>
      </c>
      <c r="AE648">
        <v>77</v>
      </c>
      <c r="AF648">
        <v>695</v>
      </c>
      <c r="AG648">
        <v>81</v>
      </c>
    </row>
    <row r="649" spans="1:39" x14ac:dyDescent="0.2">
      <c r="A649" t="s">
        <v>754</v>
      </c>
      <c r="B649" t="s">
        <v>100</v>
      </c>
      <c r="C649" t="s">
        <v>35</v>
      </c>
      <c r="D649">
        <v>4.5</v>
      </c>
      <c r="E649">
        <v>0</v>
      </c>
      <c r="F649">
        <v>0</v>
      </c>
      <c r="G649">
        <v>0.1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 t="s">
        <v>1000</v>
      </c>
      <c r="Z649">
        <v>475</v>
      </c>
      <c r="AA649">
        <v>65</v>
      </c>
      <c r="AB649">
        <v>632</v>
      </c>
      <c r="AC649">
        <v>67</v>
      </c>
      <c r="AD649">
        <v>675</v>
      </c>
      <c r="AE649">
        <v>72</v>
      </c>
      <c r="AF649">
        <v>501</v>
      </c>
      <c r="AG649">
        <v>69</v>
      </c>
      <c r="AH649">
        <f>fpl_player_statistics_cleaned[[#This Row],[Total Points]] / fpl_player_statistics_cleaned[[#This Row],[Now Cost]]</f>
        <v>0</v>
      </c>
      <c r="AI649">
        <f>fpl_player_statistics_cleaned[[#This Row],[Goals Scored]] + fpl_player_statistics_cleaned[[#This Row],[Assists]]</f>
        <v>0</v>
      </c>
      <c r="AJ649" t="e">
        <f>fpl_player_statistics_cleaned[[#This Row],[Total Points]] / fpl_player_statistics_cleaned[[#This Row],[Starts]]</f>
        <v>#DIV/0!</v>
      </c>
      <c r="AK649">
        <f>((fpl_player_statistics_cleaned[[#This Row],[Points Per Game]]) * fpl_player_statistics_cleaned[[#This Row],[Form]]) / fpl_player_statistics_cleaned[[#This Row],[Now Cost]]</f>
        <v>0</v>
      </c>
      <c r="AL649" t="e">
        <f>fpl_player_statistics_cleaned[[#This Row],[Minutes]] / fpl_player_statistics_cleaned[[#This Row],[Total Points]]</f>
        <v>#DIV/0!</v>
      </c>
      <c r="AM64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50" spans="1:39" x14ac:dyDescent="0.2">
      <c r="A650" t="s">
        <v>990</v>
      </c>
      <c r="B650" t="s">
        <v>63</v>
      </c>
      <c r="C650" t="s">
        <v>55</v>
      </c>
      <c r="D650">
        <v>3.9</v>
      </c>
      <c r="E650">
        <v>0</v>
      </c>
      <c r="F650">
        <v>0</v>
      </c>
      <c r="G650">
        <v>0.4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 t="s">
        <v>1000</v>
      </c>
      <c r="Z650">
        <v>743</v>
      </c>
      <c r="AA650">
        <v>86</v>
      </c>
      <c r="AB650">
        <v>429</v>
      </c>
      <c r="AC650">
        <v>34</v>
      </c>
      <c r="AD650">
        <v>486</v>
      </c>
      <c r="AE650">
        <v>41</v>
      </c>
      <c r="AF650">
        <v>273</v>
      </c>
      <c r="AG650">
        <v>36</v>
      </c>
      <c r="AH650">
        <f>fpl_player_statistics_cleaned[[#This Row],[Total Points]] / fpl_player_statistics_cleaned[[#This Row],[Now Cost]]</f>
        <v>0</v>
      </c>
      <c r="AI650">
        <f>fpl_player_statistics_cleaned[[#This Row],[Goals Scored]] + fpl_player_statistics_cleaned[[#This Row],[Assists]]</f>
        <v>0</v>
      </c>
      <c r="AJ650" t="e">
        <f>fpl_player_statistics_cleaned[[#This Row],[Total Points]] / fpl_player_statistics_cleaned[[#This Row],[Starts]]</f>
        <v>#DIV/0!</v>
      </c>
      <c r="AK650">
        <f>((fpl_player_statistics_cleaned[[#This Row],[Points Per Game]]) * fpl_player_statistics_cleaned[[#This Row],[Form]]) / fpl_player_statistics_cleaned[[#This Row],[Now Cost]]</f>
        <v>0</v>
      </c>
      <c r="AL650" t="e">
        <f>fpl_player_statistics_cleaned[[#This Row],[Minutes]] / fpl_player_statistics_cleaned[[#This Row],[Total Points]]</f>
        <v>#DIV/0!</v>
      </c>
      <c r="AM65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51" spans="1:39" x14ac:dyDescent="0.2">
      <c r="A651" t="s">
        <v>755</v>
      </c>
      <c r="B651" t="s">
        <v>63</v>
      </c>
      <c r="C651" t="s">
        <v>55</v>
      </c>
      <c r="D651">
        <v>3.9</v>
      </c>
      <c r="E651">
        <v>0</v>
      </c>
      <c r="F651">
        <v>0</v>
      </c>
      <c r="G651">
        <v>0.2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 t="s">
        <v>1000</v>
      </c>
      <c r="Z651">
        <v>703</v>
      </c>
      <c r="AA651">
        <v>77</v>
      </c>
      <c r="AB651">
        <v>394</v>
      </c>
      <c r="AC651">
        <v>25</v>
      </c>
      <c r="AD651">
        <v>453</v>
      </c>
      <c r="AE651">
        <v>32</v>
      </c>
      <c r="AF651">
        <v>356</v>
      </c>
      <c r="AG651">
        <v>53</v>
      </c>
      <c r="AH651">
        <f>fpl_player_statistics_cleaned[[#This Row],[Total Points]] / fpl_player_statistics_cleaned[[#This Row],[Now Cost]]</f>
        <v>0</v>
      </c>
      <c r="AI651">
        <f>fpl_player_statistics_cleaned[[#This Row],[Goals Scored]] + fpl_player_statistics_cleaned[[#This Row],[Assists]]</f>
        <v>0</v>
      </c>
      <c r="AJ651" t="e">
        <f>fpl_player_statistics_cleaned[[#This Row],[Total Points]] / fpl_player_statistics_cleaned[[#This Row],[Starts]]</f>
        <v>#DIV/0!</v>
      </c>
      <c r="AK651">
        <f>((fpl_player_statistics_cleaned[[#This Row],[Points Per Game]]) * fpl_player_statistics_cleaned[[#This Row],[Form]]) / fpl_player_statistics_cleaned[[#This Row],[Now Cost]]</f>
        <v>0</v>
      </c>
      <c r="AL651" t="e">
        <f>fpl_player_statistics_cleaned[[#This Row],[Minutes]] / fpl_player_statistics_cleaned[[#This Row],[Total Points]]</f>
        <v>#DIV/0!</v>
      </c>
      <c r="AM65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52" spans="1:39" hidden="1" x14ac:dyDescent="0.2">
      <c r="A652" t="s">
        <v>756</v>
      </c>
      <c r="B652" t="s">
        <v>63</v>
      </c>
      <c r="C652" t="s">
        <v>38</v>
      </c>
      <c r="D652">
        <v>4.8</v>
      </c>
      <c r="E652">
        <v>0</v>
      </c>
      <c r="F652">
        <v>0</v>
      </c>
      <c r="G652">
        <v>0.1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 t="s">
        <v>757</v>
      </c>
      <c r="Z652">
        <v>356</v>
      </c>
      <c r="AA652">
        <v>59</v>
      </c>
      <c r="AB652">
        <v>649</v>
      </c>
      <c r="AC652">
        <v>234</v>
      </c>
      <c r="AD652">
        <v>684</v>
      </c>
      <c r="AE652">
        <v>241</v>
      </c>
      <c r="AF652">
        <v>557</v>
      </c>
      <c r="AG652">
        <v>200</v>
      </c>
    </row>
    <row r="653" spans="1:39" x14ac:dyDescent="0.2">
      <c r="A653" t="s">
        <v>758</v>
      </c>
      <c r="B653" t="s">
        <v>63</v>
      </c>
      <c r="C653" t="s">
        <v>38</v>
      </c>
      <c r="D653">
        <v>3.8</v>
      </c>
      <c r="E653">
        <v>0</v>
      </c>
      <c r="F653">
        <v>0</v>
      </c>
      <c r="G653">
        <v>0.3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 t="s">
        <v>1000</v>
      </c>
      <c r="Z653">
        <v>752</v>
      </c>
      <c r="AA653">
        <v>249</v>
      </c>
      <c r="AB653">
        <v>386</v>
      </c>
      <c r="AC653">
        <v>135</v>
      </c>
      <c r="AD653">
        <v>448</v>
      </c>
      <c r="AE653">
        <v>157</v>
      </c>
      <c r="AF653">
        <v>289</v>
      </c>
      <c r="AG653">
        <v>105</v>
      </c>
      <c r="AH653">
        <f>fpl_player_statistics_cleaned[[#This Row],[Total Points]] / fpl_player_statistics_cleaned[[#This Row],[Now Cost]]</f>
        <v>0</v>
      </c>
      <c r="AI653">
        <f>fpl_player_statistics_cleaned[[#This Row],[Goals Scored]] + fpl_player_statistics_cleaned[[#This Row],[Assists]]</f>
        <v>0</v>
      </c>
      <c r="AJ653" t="e">
        <f>fpl_player_statistics_cleaned[[#This Row],[Total Points]] / fpl_player_statistics_cleaned[[#This Row],[Starts]]</f>
        <v>#DIV/0!</v>
      </c>
      <c r="AK653">
        <f>((fpl_player_statistics_cleaned[[#This Row],[Points Per Game]]) * fpl_player_statistics_cleaned[[#This Row],[Form]]) / fpl_player_statistics_cleaned[[#This Row],[Now Cost]]</f>
        <v>0</v>
      </c>
      <c r="AL653" t="e">
        <f>fpl_player_statistics_cleaned[[#This Row],[Minutes]] / fpl_player_statistics_cleaned[[#This Row],[Total Points]]</f>
        <v>#DIV/0!</v>
      </c>
      <c r="AM65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54" spans="1:39" x14ac:dyDescent="0.2">
      <c r="A654" t="s">
        <v>759</v>
      </c>
      <c r="B654" t="s">
        <v>63</v>
      </c>
      <c r="C654" t="s">
        <v>38</v>
      </c>
      <c r="D654">
        <v>3.8</v>
      </c>
      <c r="E654">
        <v>0</v>
      </c>
      <c r="F654">
        <v>0</v>
      </c>
      <c r="G654">
        <v>0.2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 t="s">
        <v>1000</v>
      </c>
      <c r="Z654">
        <v>749</v>
      </c>
      <c r="AA654">
        <v>246</v>
      </c>
      <c r="AB654">
        <v>384</v>
      </c>
      <c r="AC654">
        <v>133</v>
      </c>
      <c r="AD654">
        <v>446</v>
      </c>
      <c r="AE654">
        <v>155</v>
      </c>
      <c r="AF654">
        <v>338</v>
      </c>
      <c r="AG654">
        <v>119</v>
      </c>
      <c r="AH654">
        <f>fpl_player_statistics_cleaned[[#This Row],[Total Points]] / fpl_player_statistics_cleaned[[#This Row],[Now Cost]]</f>
        <v>0</v>
      </c>
      <c r="AI654">
        <f>fpl_player_statistics_cleaned[[#This Row],[Goals Scored]] + fpl_player_statistics_cleaned[[#This Row],[Assists]]</f>
        <v>0</v>
      </c>
      <c r="AJ654" t="e">
        <f>fpl_player_statistics_cleaned[[#This Row],[Total Points]] / fpl_player_statistics_cleaned[[#This Row],[Starts]]</f>
        <v>#DIV/0!</v>
      </c>
      <c r="AK654">
        <f>((fpl_player_statistics_cleaned[[#This Row],[Points Per Game]]) * fpl_player_statistics_cleaned[[#This Row],[Form]]) / fpl_player_statistics_cleaned[[#This Row],[Now Cost]]</f>
        <v>0</v>
      </c>
      <c r="AL654" t="e">
        <f>fpl_player_statistics_cleaned[[#This Row],[Minutes]] / fpl_player_statistics_cleaned[[#This Row],[Total Points]]</f>
        <v>#DIV/0!</v>
      </c>
      <c r="AM65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55" spans="1:39" hidden="1" x14ac:dyDescent="0.2">
      <c r="A655" t="s">
        <v>760</v>
      </c>
      <c r="B655" t="s">
        <v>63</v>
      </c>
      <c r="C655" t="s">
        <v>38</v>
      </c>
      <c r="D655">
        <v>4.9000000000000004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 t="s">
        <v>761</v>
      </c>
      <c r="Z655">
        <v>348</v>
      </c>
      <c r="AA655">
        <v>58</v>
      </c>
      <c r="AB655">
        <v>681</v>
      </c>
      <c r="AC655">
        <v>239</v>
      </c>
      <c r="AD655">
        <v>708</v>
      </c>
      <c r="AE655">
        <v>244</v>
      </c>
      <c r="AF655">
        <v>677</v>
      </c>
      <c r="AG655">
        <v>230</v>
      </c>
    </row>
    <row r="656" spans="1:39" x14ac:dyDescent="0.2">
      <c r="A656" t="s">
        <v>762</v>
      </c>
      <c r="B656" t="s">
        <v>63</v>
      </c>
      <c r="C656" t="s">
        <v>41</v>
      </c>
      <c r="D656">
        <v>4.5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 t="s">
        <v>1000</v>
      </c>
      <c r="Z656">
        <v>474</v>
      </c>
      <c r="AA656">
        <v>287</v>
      </c>
      <c r="AB656">
        <v>631</v>
      </c>
      <c r="AC656">
        <v>255</v>
      </c>
      <c r="AD656">
        <v>674</v>
      </c>
      <c r="AE656">
        <v>281</v>
      </c>
      <c r="AF656">
        <v>737</v>
      </c>
      <c r="AG656">
        <v>325</v>
      </c>
      <c r="AH656">
        <f>fpl_player_statistics_cleaned[[#This Row],[Total Points]] / fpl_player_statistics_cleaned[[#This Row],[Now Cost]]</f>
        <v>0</v>
      </c>
      <c r="AI656">
        <f>fpl_player_statistics_cleaned[[#This Row],[Goals Scored]] + fpl_player_statistics_cleaned[[#This Row],[Assists]]</f>
        <v>0</v>
      </c>
      <c r="AJ656" t="e">
        <f>fpl_player_statistics_cleaned[[#This Row],[Total Points]] / fpl_player_statistics_cleaned[[#This Row],[Starts]]</f>
        <v>#DIV/0!</v>
      </c>
      <c r="AK656">
        <f>((fpl_player_statistics_cleaned[[#This Row],[Points Per Game]]) * fpl_player_statistics_cleaned[[#This Row],[Form]]) / fpl_player_statistics_cleaned[[#This Row],[Now Cost]]</f>
        <v>0</v>
      </c>
      <c r="AL656" t="e">
        <f>fpl_player_statistics_cleaned[[#This Row],[Minutes]] / fpl_player_statistics_cleaned[[#This Row],[Total Points]]</f>
        <v>#DIV/0!</v>
      </c>
      <c r="AM65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57" spans="1:39" hidden="1" x14ac:dyDescent="0.2">
      <c r="A657" t="s">
        <v>763</v>
      </c>
      <c r="B657" t="s">
        <v>100</v>
      </c>
      <c r="C657" t="s">
        <v>41</v>
      </c>
      <c r="D657">
        <v>4.5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 t="s">
        <v>764</v>
      </c>
      <c r="Z657">
        <v>448</v>
      </c>
      <c r="AA657">
        <v>268</v>
      </c>
      <c r="AB657">
        <v>609</v>
      </c>
      <c r="AC657">
        <v>239</v>
      </c>
      <c r="AD657">
        <v>652</v>
      </c>
      <c r="AE657">
        <v>265</v>
      </c>
      <c r="AF657">
        <v>729</v>
      </c>
      <c r="AG657">
        <v>320</v>
      </c>
    </row>
    <row r="658" spans="1:39" hidden="1" x14ac:dyDescent="0.2">
      <c r="A658" t="s">
        <v>765</v>
      </c>
      <c r="B658" t="s">
        <v>34</v>
      </c>
      <c r="C658" t="s">
        <v>55</v>
      </c>
      <c r="D658">
        <v>5.3</v>
      </c>
      <c r="E658">
        <v>0</v>
      </c>
      <c r="F658">
        <v>0</v>
      </c>
      <c r="G658">
        <v>0.9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 t="s">
        <v>766</v>
      </c>
      <c r="Z658">
        <v>190</v>
      </c>
      <c r="AA658">
        <v>5</v>
      </c>
      <c r="AB658">
        <v>703</v>
      </c>
      <c r="AC658">
        <v>85</v>
      </c>
      <c r="AD658">
        <v>724</v>
      </c>
      <c r="AE658">
        <v>86</v>
      </c>
      <c r="AF658">
        <v>188</v>
      </c>
      <c r="AG658">
        <v>27</v>
      </c>
    </row>
    <row r="659" spans="1:39" hidden="1" x14ac:dyDescent="0.2">
      <c r="A659" t="s">
        <v>767</v>
      </c>
      <c r="B659" t="s">
        <v>92</v>
      </c>
      <c r="C659" t="s">
        <v>41</v>
      </c>
      <c r="D659">
        <v>5.3</v>
      </c>
      <c r="E659">
        <v>0</v>
      </c>
      <c r="F659">
        <v>0</v>
      </c>
      <c r="G659">
        <v>0.1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 t="s">
        <v>768</v>
      </c>
      <c r="Z659">
        <v>192</v>
      </c>
      <c r="AA659">
        <v>119</v>
      </c>
      <c r="AB659">
        <v>704</v>
      </c>
      <c r="AC659">
        <v>303</v>
      </c>
      <c r="AD659">
        <v>725</v>
      </c>
      <c r="AE659">
        <v>316</v>
      </c>
      <c r="AF659">
        <v>523</v>
      </c>
      <c r="AG659">
        <v>186</v>
      </c>
    </row>
    <row r="660" spans="1:39" hidden="1" x14ac:dyDescent="0.2">
      <c r="A660" t="s">
        <v>769</v>
      </c>
      <c r="B660" t="s">
        <v>92</v>
      </c>
      <c r="C660" t="s">
        <v>41</v>
      </c>
      <c r="D660">
        <v>4.5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 t="s">
        <v>770</v>
      </c>
      <c r="Z660">
        <v>461</v>
      </c>
      <c r="AA660">
        <v>278</v>
      </c>
      <c r="AB660">
        <v>619</v>
      </c>
      <c r="AC660">
        <v>247</v>
      </c>
      <c r="AD660">
        <v>662</v>
      </c>
      <c r="AE660">
        <v>273</v>
      </c>
      <c r="AF660">
        <v>630</v>
      </c>
      <c r="AG660">
        <v>256</v>
      </c>
    </row>
    <row r="661" spans="1:39" hidden="1" x14ac:dyDescent="0.2">
      <c r="A661" t="s">
        <v>771</v>
      </c>
      <c r="B661" t="s">
        <v>92</v>
      </c>
      <c r="C661" t="s">
        <v>41</v>
      </c>
      <c r="D661">
        <v>4.5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 t="s">
        <v>632</v>
      </c>
      <c r="Z661">
        <v>443</v>
      </c>
      <c r="AA661">
        <v>264</v>
      </c>
      <c r="AB661">
        <v>606</v>
      </c>
      <c r="AC661">
        <v>236</v>
      </c>
      <c r="AD661">
        <v>649</v>
      </c>
      <c r="AE661">
        <v>262</v>
      </c>
      <c r="AF661">
        <v>742</v>
      </c>
      <c r="AG661">
        <v>327</v>
      </c>
    </row>
    <row r="662" spans="1:39" x14ac:dyDescent="0.2">
      <c r="A662" t="s">
        <v>772</v>
      </c>
      <c r="B662" t="s">
        <v>92</v>
      </c>
      <c r="C662" t="s">
        <v>41</v>
      </c>
      <c r="D662">
        <v>4.3</v>
      </c>
      <c r="E662">
        <v>0</v>
      </c>
      <c r="F662">
        <v>0</v>
      </c>
      <c r="G662">
        <v>0.2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 t="s">
        <v>1000</v>
      </c>
      <c r="Z662">
        <v>579</v>
      </c>
      <c r="AA662">
        <v>328</v>
      </c>
      <c r="AB662">
        <v>514</v>
      </c>
      <c r="AC662">
        <v>182</v>
      </c>
      <c r="AD662">
        <v>564</v>
      </c>
      <c r="AE662">
        <v>210</v>
      </c>
      <c r="AF662">
        <v>345</v>
      </c>
      <c r="AG662">
        <v>119</v>
      </c>
      <c r="AH662">
        <f>fpl_player_statistics_cleaned[[#This Row],[Total Points]] / fpl_player_statistics_cleaned[[#This Row],[Now Cost]]</f>
        <v>0</v>
      </c>
      <c r="AI662">
        <f>fpl_player_statistics_cleaned[[#This Row],[Goals Scored]] + fpl_player_statistics_cleaned[[#This Row],[Assists]]</f>
        <v>0</v>
      </c>
      <c r="AJ662" t="e">
        <f>fpl_player_statistics_cleaned[[#This Row],[Total Points]] / fpl_player_statistics_cleaned[[#This Row],[Starts]]</f>
        <v>#DIV/0!</v>
      </c>
      <c r="AK662">
        <f>((fpl_player_statistics_cleaned[[#This Row],[Points Per Game]]) * fpl_player_statistics_cleaned[[#This Row],[Form]]) / fpl_player_statistics_cleaned[[#This Row],[Now Cost]]</f>
        <v>0</v>
      </c>
      <c r="AL662" t="e">
        <f>fpl_player_statistics_cleaned[[#This Row],[Minutes]] / fpl_player_statistics_cleaned[[#This Row],[Total Points]]</f>
        <v>#DIV/0!</v>
      </c>
      <c r="AM66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63" spans="1:39" hidden="1" x14ac:dyDescent="0.2">
      <c r="A663" t="s">
        <v>773</v>
      </c>
      <c r="B663" t="s">
        <v>34</v>
      </c>
      <c r="C663" t="s">
        <v>38</v>
      </c>
      <c r="D663">
        <v>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 t="s">
        <v>774</v>
      </c>
      <c r="Z663">
        <v>288</v>
      </c>
      <c r="AA663">
        <v>44</v>
      </c>
      <c r="AB663">
        <v>696</v>
      </c>
      <c r="AC663">
        <v>241</v>
      </c>
      <c r="AD663">
        <v>722</v>
      </c>
      <c r="AE663">
        <v>246</v>
      </c>
      <c r="AF663">
        <v>724</v>
      </c>
      <c r="AG663">
        <v>244</v>
      </c>
    </row>
    <row r="664" spans="1:39" x14ac:dyDescent="0.2">
      <c r="A664" t="s">
        <v>775</v>
      </c>
      <c r="B664" t="s">
        <v>92</v>
      </c>
      <c r="C664" t="s">
        <v>55</v>
      </c>
      <c r="D664">
        <v>4</v>
      </c>
      <c r="E664">
        <v>0</v>
      </c>
      <c r="F664">
        <v>0</v>
      </c>
      <c r="G664">
        <v>0.6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 t="s">
        <v>1000</v>
      </c>
      <c r="Z664">
        <v>622</v>
      </c>
      <c r="AA664">
        <v>45</v>
      </c>
      <c r="AB664">
        <v>439</v>
      </c>
      <c r="AC664">
        <v>39</v>
      </c>
      <c r="AD664">
        <v>496</v>
      </c>
      <c r="AE664">
        <v>46</v>
      </c>
      <c r="AF664">
        <v>217</v>
      </c>
      <c r="AG664">
        <v>29</v>
      </c>
      <c r="AH664">
        <f>fpl_player_statistics_cleaned[[#This Row],[Total Points]] / fpl_player_statistics_cleaned[[#This Row],[Now Cost]]</f>
        <v>0</v>
      </c>
      <c r="AI664">
        <f>fpl_player_statistics_cleaned[[#This Row],[Goals Scored]] + fpl_player_statistics_cleaned[[#This Row],[Assists]]</f>
        <v>0</v>
      </c>
      <c r="AJ664" t="e">
        <f>fpl_player_statistics_cleaned[[#This Row],[Total Points]] / fpl_player_statistics_cleaned[[#This Row],[Starts]]</f>
        <v>#DIV/0!</v>
      </c>
      <c r="AK664">
        <f>((fpl_player_statistics_cleaned[[#This Row],[Points Per Game]]) * fpl_player_statistics_cleaned[[#This Row],[Form]]) / fpl_player_statistics_cleaned[[#This Row],[Now Cost]]</f>
        <v>0</v>
      </c>
      <c r="AL664" t="e">
        <f>fpl_player_statistics_cleaned[[#This Row],[Minutes]] / fpl_player_statistics_cleaned[[#This Row],[Total Points]]</f>
        <v>#DIV/0!</v>
      </c>
      <c r="AM66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65" spans="1:39" x14ac:dyDescent="0.2">
      <c r="A665" t="s">
        <v>776</v>
      </c>
      <c r="B665" t="s">
        <v>37</v>
      </c>
      <c r="C665" t="s">
        <v>55</v>
      </c>
      <c r="D665">
        <v>4.2</v>
      </c>
      <c r="E665">
        <v>0</v>
      </c>
      <c r="F665">
        <v>0</v>
      </c>
      <c r="G665">
        <v>0.5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t="s">
        <v>1000</v>
      </c>
      <c r="Z665">
        <v>610</v>
      </c>
      <c r="AA665">
        <v>38</v>
      </c>
      <c r="AB665">
        <v>504</v>
      </c>
      <c r="AC665">
        <v>68</v>
      </c>
      <c r="AD665">
        <v>559</v>
      </c>
      <c r="AE665">
        <v>75</v>
      </c>
      <c r="AF665">
        <v>244</v>
      </c>
      <c r="AG665">
        <v>34</v>
      </c>
      <c r="AH665">
        <f>fpl_player_statistics_cleaned[[#This Row],[Total Points]] / fpl_player_statistics_cleaned[[#This Row],[Now Cost]]</f>
        <v>0</v>
      </c>
      <c r="AI665">
        <f>fpl_player_statistics_cleaned[[#This Row],[Goals Scored]] + fpl_player_statistics_cleaned[[#This Row],[Assists]]</f>
        <v>0</v>
      </c>
      <c r="AJ665" t="e">
        <f>fpl_player_statistics_cleaned[[#This Row],[Total Points]] / fpl_player_statistics_cleaned[[#This Row],[Starts]]</f>
        <v>#DIV/0!</v>
      </c>
      <c r="AK665">
        <f>((fpl_player_statistics_cleaned[[#This Row],[Points Per Game]]) * fpl_player_statistics_cleaned[[#This Row],[Form]]) / fpl_player_statistics_cleaned[[#This Row],[Now Cost]]</f>
        <v>0</v>
      </c>
      <c r="AL665" t="e">
        <f>fpl_player_statistics_cleaned[[#This Row],[Minutes]] / fpl_player_statistics_cleaned[[#This Row],[Total Points]]</f>
        <v>#DIV/0!</v>
      </c>
      <c r="AM66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66" spans="1:39" x14ac:dyDescent="0.2">
      <c r="A666" t="s">
        <v>777</v>
      </c>
      <c r="B666" t="s">
        <v>100</v>
      </c>
      <c r="C666" t="s">
        <v>55</v>
      </c>
      <c r="D666">
        <v>4</v>
      </c>
      <c r="E666">
        <v>0</v>
      </c>
      <c r="F666">
        <v>0</v>
      </c>
      <c r="G666">
        <v>0.2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t="s">
        <v>1000</v>
      </c>
      <c r="Z666">
        <v>623</v>
      </c>
      <c r="AA666">
        <v>46</v>
      </c>
      <c r="AB666">
        <v>440</v>
      </c>
      <c r="AC666">
        <v>40</v>
      </c>
      <c r="AD666">
        <v>497</v>
      </c>
      <c r="AE666">
        <v>47</v>
      </c>
      <c r="AF666">
        <v>390</v>
      </c>
      <c r="AG666">
        <v>59</v>
      </c>
      <c r="AH666">
        <f>fpl_player_statistics_cleaned[[#This Row],[Total Points]] / fpl_player_statistics_cleaned[[#This Row],[Now Cost]]</f>
        <v>0</v>
      </c>
      <c r="AI666">
        <f>fpl_player_statistics_cleaned[[#This Row],[Goals Scored]] + fpl_player_statistics_cleaned[[#This Row],[Assists]]</f>
        <v>0</v>
      </c>
      <c r="AJ666" t="e">
        <f>fpl_player_statistics_cleaned[[#This Row],[Total Points]] / fpl_player_statistics_cleaned[[#This Row],[Starts]]</f>
        <v>#DIV/0!</v>
      </c>
      <c r="AK666">
        <f>((fpl_player_statistics_cleaned[[#This Row],[Points Per Game]]) * fpl_player_statistics_cleaned[[#This Row],[Form]]) / fpl_player_statistics_cleaned[[#This Row],[Now Cost]]</f>
        <v>0</v>
      </c>
      <c r="AL666" t="e">
        <f>fpl_player_statistics_cleaned[[#This Row],[Minutes]] / fpl_player_statistics_cleaned[[#This Row],[Total Points]]</f>
        <v>#DIV/0!</v>
      </c>
      <c r="AM66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67" spans="1:39" hidden="1" x14ac:dyDescent="0.2">
      <c r="A667" t="s">
        <v>778</v>
      </c>
      <c r="B667" t="s">
        <v>100</v>
      </c>
      <c r="C667" t="s">
        <v>38</v>
      </c>
      <c r="D667">
        <v>3.9</v>
      </c>
      <c r="E667">
        <v>0</v>
      </c>
      <c r="F667">
        <v>0</v>
      </c>
      <c r="G667">
        <v>0.1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t="s">
        <v>87</v>
      </c>
      <c r="Z667">
        <v>712</v>
      </c>
      <c r="AA667">
        <v>217</v>
      </c>
      <c r="AB667">
        <v>401</v>
      </c>
      <c r="AC667">
        <v>145</v>
      </c>
      <c r="AD667">
        <v>459</v>
      </c>
      <c r="AE667">
        <v>163</v>
      </c>
      <c r="AF667">
        <v>507</v>
      </c>
      <c r="AG667">
        <v>184</v>
      </c>
    </row>
    <row r="668" spans="1:39" hidden="1" x14ac:dyDescent="0.2">
      <c r="A668" t="s">
        <v>779</v>
      </c>
      <c r="B668" t="s">
        <v>100</v>
      </c>
      <c r="C668" t="s">
        <v>38</v>
      </c>
      <c r="D668">
        <v>4</v>
      </c>
      <c r="E668">
        <v>0</v>
      </c>
      <c r="F668">
        <v>0</v>
      </c>
      <c r="G668">
        <v>0.1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t="s">
        <v>780</v>
      </c>
      <c r="Z668">
        <v>664</v>
      </c>
      <c r="AA668">
        <v>182</v>
      </c>
      <c r="AB668">
        <v>474</v>
      </c>
      <c r="AC668">
        <v>185</v>
      </c>
      <c r="AD668">
        <v>531</v>
      </c>
      <c r="AE668">
        <v>202</v>
      </c>
      <c r="AF668">
        <v>499</v>
      </c>
      <c r="AG668">
        <v>181</v>
      </c>
    </row>
    <row r="669" spans="1:39" hidden="1" x14ac:dyDescent="0.2">
      <c r="A669" t="s">
        <v>781</v>
      </c>
      <c r="B669" t="s">
        <v>34</v>
      </c>
      <c r="C669" t="s">
        <v>38</v>
      </c>
      <c r="D669">
        <v>5.4</v>
      </c>
      <c r="E669">
        <v>0</v>
      </c>
      <c r="F669">
        <v>0</v>
      </c>
      <c r="G669">
        <v>0.3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t="s">
        <v>782</v>
      </c>
      <c r="Z669">
        <v>167</v>
      </c>
      <c r="AA669">
        <v>20</v>
      </c>
      <c r="AB669">
        <v>711</v>
      </c>
      <c r="AC669">
        <v>245</v>
      </c>
      <c r="AD669">
        <v>728</v>
      </c>
      <c r="AE669">
        <v>248</v>
      </c>
      <c r="AF669">
        <v>312</v>
      </c>
      <c r="AG669">
        <v>110</v>
      </c>
    </row>
    <row r="670" spans="1:39" hidden="1" x14ac:dyDescent="0.2">
      <c r="A670" t="s">
        <v>783</v>
      </c>
      <c r="B670" t="s">
        <v>100</v>
      </c>
      <c r="C670" t="s">
        <v>41</v>
      </c>
      <c r="D670">
        <v>4.9000000000000004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t="s">
        <v>784</v>
      </c>
      <c r="Z670">
        <v>314</v>
      </c>
      <c r="AA670">
        <v>198</v>
      </c>
      <c r="AB670">
        <v>666</v>
      </c>
      <c r="AC670">
        <v>276</v>
      </c>
      <c r="AD670">
        <v>696</v>
      </c>
      <c r="AE670">
        <v>294</v>
      </c>
      <c r="AF670">
        <v>606</v>
      </c>
      <c r="AG670">
        <v>241</v>
      </c>
    </row>
    <row r="671" spans="1:39" hidden="1" x14ac:dyDescent="0.2">
      <c r="A671" t="s">
        <v>785</v>
      </c>
      <c r="B671" t="s">
        <v>100</v>
      </c>
      <c r="C671" t="s">
        <v>41</v>
      </c>
      <c r="D671">
        <v>4.9000000000000004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 t="s">
        <v>786</v>
      </c>
      <c r="Z671">
        <v>320</v>
      </c>
      <c r="AA671">
        <v>201</v>
      </c>
      <c r="AB671">
        <v>669</v>
      </c>
      <c r="AC671">
        <v>278</v>
      </c>
      <c r="AD671">
        <v>698</v>
      </c>
      <c r="AE671">
        <v>296</v>
      </c>
      <c r="AF671">
        <v>670</v>
      </c>
      <c r="AG671">
        <v>285</v>
      </c>
    </row>
    <row r="672" spans="1:39" x14ac:dyDescent="0.2">
      <c r="A672" t="s">
        <v>787</v>
      </c>
      <c r="B672" t="s">
        <v>34</v>
      </c>
      <c r="C672" t="s">
        <v>55</v>
      </c>
      <c r="D672">
        <v>4</v>
      </c>
      <c r="E672">
        <v>0</v>
      </c>
      <c r="F672">
        <v>0</v>
      </c>
      <c r="G672">
        <v>0.1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 t="s">
        <v>1000</v>
      </c>
      <c r="Z672">
        <v>628</v>
      </c>
      <c r="AA672">
        <v>50</v>
      </c>
      <c r="AB672">
        <v>445</v>
      </c>
      <c r="AC672">
        <v>44</v>
      </c>
      <c r="AD672">
        <v>502</v>
      </c>
      <c r="AE672">
        <v>51</v>
      </c>
      <c r="AF672">
        <v>445</v>
      </c>
      <c r="AG672">
        <v>70</v>
      </c>
      <c r="AH672">
        <f>fpl_player_statistics_cleaned[[#This Row],[Total Points]] / fpl_player_statistics_cleaned[[#This Row],[Now Cost]]</f>
        <v>0</v>
      </c>
      <c r="AI672">
        <f>fpl_player_statistics_cleaned[[#This Row],[Goals Scored]] + fpl_player_statistics_cleaned[[#This Row],[Assists]]</f>
        <v>0</v>
      </c>
      <c r="AJ672" t="e">
        <f>fpl_player_statistics_cleaned[[#This Row],[Total Points]] / fpl_player_statistics_cleaned[[#This Row],[Starts]]</f>
        <v>#DIV/0!</v>
      </c>
      <c r="AK672">
        <f>((fpl_player_statistics_cleaned[[#This Row],[Points Per Game]]) * fpl_player_statistics_cleaned[[#This Row],[Form]]) / fpl_player_statistics_cleaned[[#This Row],[Now Cost]]</f>
        <v>0</v>
      </c>
      <c r="AL672" t="e">
        <f>fpl_player_statistics_cleaned[[#This Row],[Minutes]] / fpl_player_statistics_cleaned[[#This Row],[Total Points]]</f>
        <v>#DIV/0!</v>
      </c>
      <c r="AM67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73" spans="1:39" x14ac:dyDescent="0.2">
      <c r="A673" t="s">
        <v>788</v>
      </c>
      <c r="B673" t="s">
        <v>34</v>
      </c>
      <c r="C673" t="s">
        <v>55</v>
      </c>
      <c r="D673">
        <v>4.8</v>
      </c>
      <c r="E673">
        <v>0</v>
      </c>
      <c r="F673">
        <v>0</v>
      </c>
      <c r="G673">
        <v>0.2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t="s">
        <v>1000</v>
      </c>
      <c r="Z673">
        <v>350</v>
      </c>
      <c r="AA673">
        <v>14</v>
      </c>
      <c r="AB673">
        <v>647</v>
      </c>
      <c r="AC673">
        <v>81</v>
      </c>
      <c r="AD673">
        <v>682</v>
      </c>
      <c r="AE673">
        <v>83</v>
      </c>
      <c r="AF673">
        <v>382</v>
      </c>
      <c r="AG673">
        <v>58</v>
      </c>
      <c r="AH673">
        <f>fpl_player_statistics_cleaned[[#This Row],[Total Points]] / fpl_player_statistics_cleaned[[#This Row],[Now Cost]]</f>
        <v>0</v>
      </c>
      <c r="AI673">
        <f>fpl_player_statistics_cleaned[[#This Row],[Goals Scored]] + fpl_player_statistics_cleaned[[#This Row],[Assists]]</f>
        <v>0</v>
      </c>
      <c r="AJ673" t="e">
        <f>fpl_player_statistics_cleaned[[#This Row],[Total Points]] / fpl_player_statistics_cleaned[[#This Row],[Starts]]</f>
        <v>#DIV/0!</v>
      </c>
      <c r="AK673">
        <f>((fpl_player_statistics_cleaned[[#This Row],[Points Per Game]]) * fpl_player_statistics_cleaned[[#This Row],[Form]]) / fpl_player_statistics_cleaned[[#This Row],[Now Cost]]</f>
        <v>0</v>
      </c>
      <c r="AL673" t="e">
        <f>fpl_player_statistics_cleaned[[#This Row],[Minutes]] / fpl_player_statistics_cleaned[[#This Row],[Total Points]]</f>
        <v>#DIV/0!</v>
      </c>
      <c r="AM67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74" spans="1:39" hidden="1" x14ac:dyDescent="0.2">
      <c r="A674" t="s">
        <v>789</v>
      </c>
      <c r="B674" t="s">
        <v>43</v>
      </c>
      <c r="C674" t="s">
        <v>41</v>
      </c>
      <c r="D674">
        <v>4.5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 t="s">
        <v>790</v>
      </c>
      <c r="Z674">
        <v>446</v>
      </c>
      <c r="AA674">
        <v>266</v>
      </c>
      <c r="AB674">
        <v>608</v>
      </c>
      <c r="AC674">
        <v>238</v>
      </c>
      <c r="AD674">
        <v>651</v>
      </c>
      <c r="AE674">
        <v>264</v>
      </c>
      <c r="AF674">
        <v>743</v>
      </c>
      <c r="AG674">
        <v>328</v>
      </c>
    </row>
    <row r="675" spans="1:39" hidden="1" x14ac:dyDescent="0.2">
      <c r="A675" t="s">
        <v>791</v>
      </c>
      <c r="B675" t="s">
        <v>49</v>
      </c>
      <c r="C675" t="s">
        <v>41</v>
      </c>
      <c r="D675">
        <v>4.5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 t="s">
        <v>792</v>
      </c>
      <c r="Z675">
        <v>434</v>
      </c>
      <c r="AA675">
        <v>258</v>
      </c>
      <c r="AB675">
        <v>599</v>
      </c>
      <c r="AC675">
        <v>230</v>
      </c>
      <c r="AD675">
        <v>642</v>
      </c>
      <c r="AE675">
        <v>256</v>
      </c>
      <c r="AF675">
        <v>618</v>
      </c>
      <c r="AG675">
        <v>248</v>
      </c>
    </row>
    <row r="676" spans="1:39" x14ac:dyDescent="0.2">
      <c r="A676" t="s">
        <v>793</v>
      </c>
      <c r="B676" t="s">
        <v>54</v>
      </c>
      <c r="C676" t="s">
        <v>55</v>
      </c>
      <c r="D676">
        <v>4.3</v>
      </c>
      <c r="E676">
        <v>0</v>
      </c>
      <c r="F676">
        <v>0</v>
      </c>
      <c r="G676">
        <v>0.2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 t="s">
        <v>1000</v>
      </c>
      <c r="Z676">
        <v>586</v>
      </c>
      <c r="AA676">
        <v>35</v>
      </c>
      <c r="AB676">
        <v>517</v>
      </c>
      <c r="AC676">
        <v>72</v>
      </c>
      <c r="AD676">
        <v>567</v>
      </c>
      <c r="AE676">
        <v>77</v>
      </c>
      <c r="AF676">
        <v>367</v>
      </c>
      <c r="AG676">
        <v>56</v>
      </c>
      <c r="AH676">
        <f>fpl_player_statistics_cleaned[[#This Row],[Total Points]] / fpl_player_statistics_cleaned[[#This Row],[Now Cost]]</f>
        <v>0</v>
      </c>
      <c r="AI676">
        <f>fpl_player_statistics_cleaned[[#This Row],[Goals Scored]] + fpl_player_statistics_cleaned[[#This Row],[Assists]]</f>
        <v>0</v>
      </c>
      <c r="AJ676" t="e">
        <f>fpl_player_statistics_cleaned[[#This Row],[Total Points]] / fpl_player_statistics_cleaned[[#This Row],[Starts]]</f>
        <v>#DIV/0!</v>
      </c>
      <c r="AK676">
        <f>((fpl_player_statistics_cleaned[[#This Row],[Points Per Game]]) * fpl_player_statistics_cleaned[[#This Row],[Form]]) / fpl_player_statistics_cleaned[[#This Row],[Now Cost]]</f>
        <v>0</v>
      </c>
      <c r="AL676" t="e">
        <f>fpl_player_statistics_cleaned[[#This Row],[Minutes]] / fpl_player_statistics_cleaned[[#This Row],[Total Points]]</f>
        <v>#DIV/0!</v>
      </c>
      <c r="AM67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77" spans="1:39" hidden="1" x14ac:dyDescent="0.2">
      <c r="A677" t="s">
        <v>794</v>
      </c>
      <c r="B677" t="s">
        <v>81</v>
      </c>
      <c r="C677" t="s">
        <v>41</v>
      </c>
      <c r="D677">
        <v>4.5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 t="s">
        <v>795</v>
      </c>
      <c r="Z677">
        <v>450</v>
      </c>
      <c r="AA677">
        <v>270</v>
      </c>
      <c r="AB677">
        <v>611</v>
      </c>
      <c r="AC677">
        <v>241</v>
      </c>
      <c r="AD677">
        <v>654</v>
      </c>
      <c r="AE677">
        <v>267</v>
      </c>
      <c r="AF677">
        <v>644</v>
      </c>
      <c r="AG677">
        <v>265</v>
      </c>
    </row>
    <row r="678" spans="1:39" hidden="1" x14ac:dyDescent="0.2">
      <c r="A678" t="s">
        <v>796</v>
      </c>
      <c r="B678" t="s">
        <v>81</v>
      </c>
      <c r="C678" t="s">
        <v>41</v>
      </c>
      <c r="D678">
        <v>5.4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 t="s">
        <v>797</v>
      </c>
      <c r="Z678">
        <v>185</v>
      </c>
      <c r="AA678">
        <v>116</v>
      </c>
      <c r="AB678">
        <v>720</v>
      </c>
      <c r="AC678">
        <v>314</v>
      </c>
      <c r="AD678">
        <v>733</v>
      </c>
      <c r="AE678">
        <v>321</v>
      </c>
      <c r="AF678">
        <v>685</v>
      </c>
      <c r="AG678">
        <v>292</v>
      </c>
    </row>
    <row r="679" spans="1:39" hidden="1" x14ac:dyDescent="0.2">
      <c r="A679" t="s">
        <v>798</v>
      </c>
      <c r="B679" t="s">
        <v>81</v>
      </c>
      <c r="C679" t="s">
        <v>41</v>
      </c>
      <c r="D679">
        <v>4.9000000000000004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 t="s">
        <v>799</v>
      </c>
      <c r="Z679">
        <v>324</v>
      </c>
      <c r="AA679">
        <v>204</v>
      </c>
      <c r="AB679">
        <v>673</v>
      </c>
      <c r="AC679">
        <v>281</v>
      </c>
      <c r="AD679">
        <v>701</v>
      </c>
      <c r="AE679">
        <v>299</v>
      </c>
      <c r="AF679">
        <v>668</v>
      </c>
      <c r="AG679">
        <v>283</v>
      </c>
    </row>
    <row r="680" spans="1:39" x14ac:dyDescent="0.2">
      <c r="A680" t="s">
        <v>800</v>
      </c>
      <c r="B680" t="s">
        <v>122</v>
      </c>
      <c r="C680" t="s">
        <v>38</v>
      </c>
      <c r="D680">
        <v>3.9</v>
      </c>
      <c r="E680">
        <v>0</v>
      </c>
      <c r="F680">
        <v>0</v>
      </c>
      <c r="G680">
        <v>0.4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 t="s">
        <v>1000</v>
      </c>
      <c r="Z680">
        <v>699</v>
      </c>
      <c r="AA680">
        <v>207</v>
      </c>
      <c r="AB680">
        <v>390</v>
      </c>
      <c r="AC680">
        <v>137</v>
      </c>
      <c r="AD680">
        <v>451</v>
      </c>
      <c r="AE680">
        <v>158</v>
      </c>
      <c r="AF680">
        <v>247</v>
      </c>
      <c r="AG680">
        <v>89</v>
      </c>
      <c r="AH680">
        <f>fpl_player_statistics_cleaned[[#This Row],[Total Points]] / fpl_player_statistics_cleaned[[#This Row],[Now Cost]]</f>
        <v>0</v>
      </c>
      <c r="AI680">
        <f>fpl_player_statistics_cleaned[[#This Row],[Goals Scored]] + fpl_player_statistics_cleaned[[#This Row],[Assists]]</f>
        <v>0</v>
      </c>
      <c r="AJ680" t="e">
        <f>fpl_player_statistics_cleaned[[#This Row],[Total Points]] / fpl_player_statistics_cleaned[[#This Row],[Starts]]</f>
        <v>#DIV/0!</v>
      </c>
      <c r="AK680">
        <f>((fpl_player_statistics_cleaned[[#This Row],[Points Per Game]]) * fpl_player_statistics_cleaned[[#This Row],[Form]]) / fpl_player_statistics_cleaned[[#This Row],[Now Cost]]</f>
        <v>0</v>
      </c>
      <c r="AL680" t="e">
        <f>fpl_player_statistics_cleaned[[#This Row],[Minutes]] / fpl_player_statistics_cleaned[[#This Row],[Total Points]]</f>
        <v>#DIV/0!</v>
      </c>
      <c r="AM68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81" spans="1:39" x14ac:dyDescent="0.2">
      <c r="A681" t="s">
        <v>801</v>
      </c>
      <c r="B681" t="s">
        <v>122</v>
      </c>
      <c r="C681" t="s">
        <v>38</v>
      </c>
      <c r="D681">
        <v>3.9</v>
      </c>
      <c r="E681">
        <v>0</v>
      </c>
      <c r="F681">
        <v>0</v>
      </c>
      <c r="G681">
        <v>0.2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 t="s">
        <v>1000</v>
      </c>
      <c r="Z681">
        <v>737</v>
      </c>
      <c r="AA681">
        <v>235</v>
      </c>
      <c r="AB681">
        <v>425</v>
      </c>
      <c r="AC681">
        <v>162</v>
      </c>
      <c r="AD681">
        <v>482</v>
      </c>
      <c r="AE681">
        <v>179</v>
      </c>
      <c r="AF681">
        <v>374</v>
      </c>
      <c r="AG681">
        <v>134</v>
      </c>
      <c r="AH681">
        <f>fpl_player_statistics_cleaned[[#This Row],[Total Points]] / fpl_player_statistics_cleaned[[#This Row],[Now Cost]]</f>
        <v>0</v>
      </c>
      <c r="AI681">
        <f>fpl_player_statistics_cleaned[[#This Row],[Goals Scored]] + fpl_player_statistics_cleaned[[#This Row],[Assists]]</f>
        <v>0</v>
      </c>
      <c r="AJ681" t="e">
        <f>fpl_player_statistics_cleaned[[#This Row],[Total Points]] / fpl_player_statistics_cleaned[[#This Row],[Starts]]</f>
        <v>#DIV/0!</v>
      </c>
      <c r="AK681">
        <f>((fpl_player_statistics_cleaned[[#This Row],[Points Per Game]]) * fpl_player_statistics_cleaned[[#This Row],[Form]]) / fpl_player_statistics_cleaned[[#This Row],[Now Cost]]</f>
        <v>0</v>
      </c>
      <c r="AL681" t="e">
        <f>fpl_player_statistics_cleaned[[#This Row],[Minutes]] / fpl_player_statistics_cleaned[[#This Row],[Total Points]]</f>
        <v>#DIV/0!</v>
      </c>
      <c r="AM68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82" spans="1:39" hidden="1" x14ac:dyDescent="0.2">
      <c r="A682" t="s">
        <v>802</v>
      </c>
      <c r="B682" t="s">
        <v>122</v>
      </c>
      <c r="C682" t="s">
        <v>38</v>
      </c>
      <c r="D682">
        <v>4.5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 t="s">
        <v>803</v>
      </c>
      <c r="Z682">
        <v>407</v>
      </c>
      <c r="AA682">
        <v>78</v>
      </c>
      <c r="AB682">
        <v>584</v>
      </c>
      <c r="AC682">
        <v>226</v>
      </c>
      <c r="AD682">
        <v>628</v>
      </c>
      <c r="AE682">
        <v>235</v>
      </c>
      <c r="AF682">
        <v>651</v>
      </c>
      <c r="AG682">
        <v>223</v>
      </c>
    </row>
    <row r="683" spans="1:39" hidden="1" x14ac:dyDescent="0.2">
      <c r="A683" t="s">
        <v>804</v>
      </c>
      <c r="B683" t="s">
        <v>81</v>
      </c>
      <c r="C683" t="s">
        <v>41</v>
      </c>
      <c r="D683">
        <v>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 t="s">
        <v>656</v>
      </c>
      <c r="Z683">
        <v>287</v>
      </c>
      <c r="AA683">
        <v>180</v>
      </c>
      <c r="AB683">
        <v>695</v>
      </c>
      <c r="AC683">
        <v>297</v>
      </c>
      <c r="AD683">
        <v>721</v>
      </c>
      <c r="AE683">
        <v>314</v>
      </c>
      <c r="AF683">
        <v>720</v>
      </c>
      <c r="AG683">
        <v>316</v>
      </c>
    </row>
    <row r="684" spans="1:39" hidden="1" x14ac:dyDescent="0.2">
      <c r="A684" t="s">
        <v>805</v>
      </c>
      <c r="B684" t="s">
        <v>122</v>
      </c>
      <c r="C684" t="s">
        <v>38</v>
      </c>
      <c r="D684">
        <v>4.5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 t="s">
        <v>806</v>
      </c>
      <c r="Z684">
        <v>425</v>
      </c>
      <c r="AA684">
        <v>89</v>
      </c>
      <c r="AB684">
        <v>593</v>
      </c>
      <c r="AC684">
        <v>228</v>
      </c>
      <c r="AD684">
        <v>636</v>
      </c>
      <c r="AE684">
        <v>237</v>
      </c>
      <c r="AF684">
        <v>643</v>
      </c>
      <c r="AG684">
        <v>222</v>
      </c>
    </row>
    <row r="685" spans="1:39" hidden="1" x14ac:dyDescent="0.2">
      <c r="A685" t="s">
        <v>807</v>
      </c>
      <c r="B685" t="s">
        <v>81</v>
      </c>
      <c r="C685" t="s">
        <v>41</v>
      </c>
      <c r="D685">
        <v>4.5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 t="s">
        <v>808</v>
      </c>
      <c r="Z685">
        <v>442</v>
      </c>
      <c r="AA685">
        <v>263</v>
      </c>
      <c r="AB685">
        <v>605</v>
      </c>
      <c r="AC685">
        <v>235</v>
      </c>
      <c r="AD685">
        <v>648</v>
      </c>
      <c r="AE685">
        <v>261</v>
      </c>
      <c r="AF685">
        <v>661</v>
      </c>
      <c r="AG685">
        <v>277</v>
      </c>
    </row>
    <row r="686" spans="1:39" hidden="1" x14ac:dyDescent="0.2">
      <c r="A686" t="s">
        <v>809</v>
      </c>
      <c r="B686" t="s">
        <v>81</v>
      </c>
      <c r="C686" t="s">
        <v>41</v>
      </c>
      <c r="D686">
        <v>5.8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 t="s">
        <v>429</v>
      </c>
      <c r="Z686">
        <v>105</v>
      </c>
      <c r="AA686">
        <v>71</v>
      </c>
      <c r="AB686">
        <v>730</v>
      </c>
      <c r="AC686">
        <v>321</v>
      </c>
      <c r="AD686">
        <v>739</v>
      </c>
      <c r="AE686">
        <v>326</v>
      </c>
      <c r="AF686">
        <v>713</v>
      </c>
      <c r="AG686">
        <v>311</v>
      </c>
    </row>
    <row r="687" spans="1:39" hidden="1" x14ac:dyDescent="0.2">
      <c r="A687" t="s">
        <v>810</v>
      </c>
      <c r="B687" t="s">
        <v>81</v>
      </c>
      <c r="C687" t="s">
        <v>35</v>
      </c>
      <c r="D687">
        <v>5.5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 t="s">
        <v>811</v>
      </c>
      <c r="Z687">
        <v>149</v>
      </c>
      <c r="AA687">
        <v>36</v>
      </c>
      <c r="AB687">
        <v>727</v>
      </c>
      <c r="AC687">
        <v>75</v>
      </c>
      <c r="AD687">
        <v>738</v>
      </c>
      <c r="AE687">
        <v>78</v>
      </c>
      <c r="AF687">
        <v>703</v>
      </c>
      <c r="AG687">
        <v>82</v>
      </c>
    </row>
    <row r="688" spans="1:39" hidden="1" x14ac:dyDescent="0.2">
      <c r="A688" t="s">
        <v>812</v>
      </c>
      <c r="B688" t="s">
        <v>122</v>
      </c>
      <c r="C688" t="s">
        <v>55</v>
      </c>
      <c r="D688">
        <v>4</v>
      </c>
      <c r="E688">
        <v>0</v>
      </c>
      <c r="F688">
        <v>0</v>
      </c>
      <c r="G688">
        <v>0.1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 t="s">
        <v>749</v>
      </c>
      <c r="Z688">
        <v>638</v>
      </c>
      <c r="AA688">
        <v>54</v>
      </c>
      <c r="AB688">
        <v>454</v>
      </c>
      <c r="AC688">
        <v>48</v>
      </c>
      <c r="AD688">
        <v>511</v>
      </c>
      <c r="AE688">
        <v>55</v>
      </c>
      <c r="AF688">
        <v>464</v>
      </c>
      <c r="AG688">
        <v>74</v>
      </c>
    </row>
    <row r="689" spans="1:39" hidden="1" x14ac:dyDescent="0.2">
      <c r="A689" t="s">
        <v>813</v>
      </c>
      <c r="B689" t="s">
        <v>122</v>
      </c>
      <c r="C689" t="s">
        <v>55</v>
      </c>
      <c r="D689">
        <v>4</v>
      </c>
      <c r="E689">
        <v>0</v>
      </c>
      <c r="F689">
        <v>0</v>
      </c>
      <c r="G689">
        <v>0.1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 t="s">
        <v>814</v>
      </c>
      <c r="Z689">
        <v>657</v>
      </c>
      <c r="AA689">
        <v>63</v>
      </c>
      <c r="AB689">
        <v>469</v>
      </c>
      <c r="AC689">
        <v>57</v>
      </c>
      <c r="AD689">
        <v>526</v>
      </c>
      <c r="AE689">
        <v>64</v>
      </c>
      <c r="AF689">
        <v>494</v>
      </c>
      <c r="AG689">
        <v>75</v>
      </c>
    </row>
    <row r="690" spans="1:39" hidden="1" x14ac:dyDescent="0.2">
      <c r="A690" t="s">
        <v>815</v>
      </c>
      <c r="B690" t="s">
        <v>47</v>
      </c>
      <c r="C690" t="s">
        <v>55</v>
      </c>
      <c r="D690">
        <v>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 t="s">
        <v>816</v>
      </c>
      <c r="Z690">
        <v>676</v>
      </c>
      <c r="AA690">
        <v>69</v>
      </c>
      <c r="AB690">
        <v>484</v>
      </c>
      <c r="AC690">
        <v>63</v>
      </c>
      <c r="AD690">
        <v>540</v>
      </c>
      <c r="AE690">
        <v>70</v>
      </c>
      <c r="AF690">
        <v>734</v>
      </c>
      <c r="AG690">
        <v>83</v>
      </c>
    </row>
    <row r="691" spans="1:39" x14ac:dyDescent="0.2">
      <c r="A691" t="s">
        <v>817</v>
      </c>
      <c r="B691" t="s">
        <v>47</v>
      </c>
      <c r="C691" t="s">
        <v>55</v>
      </c>
      <c r="D691">
        <v>3.9</v>
      </c>
      <c r="E691">
        <v>0</v>
      </c>
      <c r="F691">
        <v>0</v>
      </c>
      <c r="G691">
        <v>0.1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 t="s">
        <v>1000</v>
      </c>
      <c r="Z691">
        <v>718</v>
      </c>
      <c r="AA691">
        <v>81</v>
      </c>
      <c r="AB691">
        <v>406</v>
      </c>
      <c r="AC691">
        <v>29</v>
      </c>
      <c r="AD691">
        <v>464</v>
      </c>
      <c r="AE691">
        <v>36</v>
      </c>
      <c r="AF691">
        <v>439</v>
      </c>
      <c r="AG691">
        <v>68</v>
      </c>
      <c r="AH691">
        <f>fpl_player_statistics_cleaned[[#This Row],[Total Points]] / fpl_player_statistics_cleaned[[#This Row],[Now Cost]]</f>
        <v>0</v>
      </c>
      <c r="AI691">
        <f>fpl_player_statistics_cleaned[[#This Row],[Goals Scored]] + fpl_player_statistics_cleaned[[#This Row],[Assists]]</f>
        <v>0</v>
      </c>
      <c r="AJ691" t="e">
        <f>fpl_player_statistics_cleaned[[#This Row],[Total Points]] / fpl_player_statistics_cleaned[[#This Row],[Starts]]</f>
        <v>#DIV/0!</v>
      </c>
      <c r="AK691">
        <f>((fpl_player_statistics_cleaned[[#This Row],[Points Per Game]]) * fpl_player_statistics_cleaned[[#This Row],[Form]]) / fpl_player_statistics_cleaned[[#This Row],[Now Cost]]</f>
        <v>0</v>
      </c>
      <c r="AL691" t="e">
        <f>fpl_player_statistics_cleaned[[#This Row],[Minutes]] / fpl_player_statistics_cleaned[[#This Row],[Total Points]]</f>
        <v>#DIV/0!</v>
      </c>
      <c r="AM69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92" spans="1:39" x14ac:dyDescent="0.2">
      <c r="A692" t="s">
        <v>818</v>
      </c>
      <c r="B692" t="s">
        <v>72</v>
      </c>
      <c r="C692" t="s">
        <v>41</v>
      </c>
      <c r="D692">
        <v>4.4000000000000004</v>
      </c>
      <c r="E692">
        <v>0</v>
      </c>
      <c r="F692">
        <v>0</v>
      </c>
      <c r="G692">
        <v>0.3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 t="s">
        <v>1000</v>
      </c>
      <c r="Z692">
        <v>565</v>
      </c>
      <c r="AA692">
        <v>326</v>
      </c>
      <c r="AB692">
        <v>575</v>
      </c>
      <c r="AC692">
        <v>213</v>
      </c>
      <c r="AD692">
        <v>620</v>
      </c>
      <c r="AE692">
        <v>240</v>
      </c>
      <c r="AF692">
        <v>330</v>
      </c>
      <c r="AG692">
        <v>115</v>
      </c>
      <c r="AH692">
        <f>fpl_player_statistics_cleaned[[#This Row],[Total Points]] / fpl_player_statistics_cleaned[[#This Row],[Now Cost]]</f>
        <v>0</v>
      </c>
      <c r="AI692">
        <f>fpl_player_statistics_cleaned[[#This Row],[Goals Scored]] + fpl_player_statistics_cleaned[[#This Row],[Assists]]</f>
        <v>0</v>
      </c>
      <c r="AJ692" t="e">
        <f>fpl_player_statistics_cleaned[[#This Row],[Total Points]] / fpl_player_statistics_cleaned[[#This Row],[Starts]]</f>
        <v>#DIV/0!</v>
      </c>
      <c r="AK692">
        <f>((fpl_player_statistics_cleaned[[#This Row],[Points Per Game]]) * fpl_player_statistics_cleaned[[#This Row],[Form]]) / fpl_player_statistics_cleaned[[#This Row],[Now Cost]]</f>
        <v>0</v>
      </c>
      <c r="AL692" t="e">
        <f>fpl_player_statistics_cleaned[[#This Row],[Minutes]] / fpl_player_statistics_cleaned[[#This Row],[Total Points]]</f>
        <v>#DIV/0!</v>
      </c>
      <c r="AM69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93" spans="1:39" hidden="1" x14ac:dyDescent="0.2">
      <c r="A693" t="s">
        <v>819</v>
      </c>
      <c r="B693" t="s">
        <v>47</v>
      </c>
      <c r="C693" t="s">
        <v>38</v>
      </c>
      <c r="D693">
        <v>4.8</v>
      </c>
      <c r="E693">
        <v>0</v>
      </c>
      <c r="F693">
        <v>0</v>
      </c>
      <c r="G693">
        <v>0.1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 t="s">
        <v>515</v>
      </c>
      <c r="Z693">
        <v>367</v>
      </c>
      <c r="AA693">
        <v>62</v>
      </c>
      <c r="AB693">
        <v>654</v>
      </c>
      <c r="AC693">
        <v>236</v>
      </c>
      <c r="AD693">
        <v>688</v>
      </c>
      <c r="AE693">
        <v>243</v>
      </c>
      <c r="AF693">
        <v>447</v>
      </c>
      <c r="AG693">
        <v>162</v>
      </c>
    </row>
    <row r="694" spans="1:39" hidden="1" x14ac:dyDescent="0.2">
      <c r="A694" t="s">
        <v>820</v>
      </c>
      <c r="B694" t="s">
        <v>81</v>
      </c>
      <c r="C694" t="s">
        <v>41</v>
      </c>
      <c r="D694">
        <v>5.4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 t="s">
        <v>770</v>
      </c>
      <c r="Z694">
        <v>177</v>
      </c>
      <c r="AA694">
        <v>109</v>
      </c>
      <c r="AB694">
        <v>716</v>
      </c>
      <c r="AC694">
        <v>310</v>
      </c>
      <c r="AD694">
        <v>732</v>
      </c>
      <c r="AE694">
        <v>320</v>
      </c>
      <c r="AF694">
        <v>699</v>
      </c>
      <c r="AG694">
        <v>301</v>
      </c>
    </row>
    <row r="695" spans="1:39" x14ac:dyDescent="0.2">
      <c r="A695" t="s">
        <v>821</v>
      </c>
      <c r="B695" t="s">
        <v>81</v>
      </c>
      <c r="C695" t="s">
        <v>38</v>
      </c>
      <c r="D695">
        <v>3.9</v>
      </c>
      <c r="E695">
        <v>0</v>
      </c>
      <c r="F695">
        <v>0</v>
      </c>
      <c r="G695">
        <v>0.1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 t="s">
        <v>1000</v>
      </c>
      <c r="Z695">
        <v>736</v>
      </c>
      <c r="AA695">
        <v>234</v>
      </c>
      <c r="AB695">
        <v>424</v>
      </c>
      <c r="AC695">
        <v>161</v>
      </c>
      <c r="AD695">
        <v>481</v>
      </c>
      <c r="AE695">
        <v>178</v>
      </c>
      <c r="AF695">
        <v>405</v>
      </c>
      <c r="AG695">
        <v>150</v>
      </c>
      <c r="AH695">
        <f>fpl_player_statistics_cleaned[[#This Row],[Total Points]] / fpl_player_statistics_cleaned[[#This Row],[Now Cost]]</f>
        <v>0</v>
      </c>
      <c r="AI695">
        <f>fpl_player_statistics_cleaned[[#This Row],[Goals Scored]] + fpl_player_statistics_cleaned[[#This Row],[Assists]]</f>
        <v>0</v>
      </c>
      <c r="AJ695" t="e">
        <f>fpl_player_statistics_cleaned[[#This Row],[Total Points]] / fpl_player_statistics_cleaned[[#This Row],[Starts]]</f>
        <v>#DIV/0!</v>
      </c>
      <c r="AK695">
        <f>((fpl_player_statistics_cleaned[[#This Row],[Points Per Game]]) * fpl_player_statistics_cleaned[[#This Row],[Form]]) / fpl_player_statistics_cleaned[[#This Row],[Now Cost]]</f>
        <v>0</v>
      </c>
      <c r="AL695" t="e">
        <f>fpl_player_statistics_cleaned[[#This Row],[Minutes]] / fpl_player_statistics_cleaned[[#This Row],[Total Points]]</f>
        <v>#DIV/0!</v>
      </c>
      <c r="AM69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96" spans="1:39" x14ac:dyDescent="0.2">
      <c r="A696" t="s">
        <v>822</v>
      </c>
      <c r="B696" t="s">
        <v>49</v>
      </c>
      <c r="C696" t="s">
        <v>41</v>
      </c>
      <c r="D696">
        <v>4.4000000000000004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 t="s">
        <v>1000</v>
      </c>
      <c r="Z696">
        <v>553</v>
      </c>
      <c r="AA696">
        <v>318</v>
      </c>
      <c r="AB696">
        <v>564</v>
      </c>
      <c r="AC696">
        <v>205</v>
      </c>
      <c r="AD696">
        <v>609</v>
      </c>
      <c r="AE696">
        <v>232</v>
      </c>
      <c r="AF696">
        <v>600</v>
      </c>
      <c r="AG696">
        <v>237</v>
      </c>
      <c r="AH696">
        <f>fpl_player_statistics_cleaned[[#This Row],[Total Points]] / fpl_player_statistics_cleaned[[#This Row],[Now Cost]]</f>
        <v>0</v>
      </c>
      <c r="AI696">
        <f>fpl_player_statistics_cleaned[[#This Row],[Goals Scored]] + fpl_player_statistics_cleaned[[#This Row],[Assists]]</f>
        <v>0</v>
      </c>
      <c r="AJ696" t="e">
        <f>fpl_player_statistics_cleaned[[#This Row],[Total Points]] / fpl_player_statistics_cleaned[[#This Row],[Starts]]</f>
        <v>#DIV/0!</v>
      </c>
      <c r="AK696">
        <f>((fpl_player_statistics_cleaned[[#This Row],[Points Per Game]]) * fpl_player_statistics_cleaned[[#This Row],[Form]]) / fpl_player_statistics_cleaned[[#This Row],[Now Cost]]</f>
        <v>0</v>
      </c>
      <c r="AL696" t="e">
        <f>fpl_player_statistics_cleaned[[#This Row],[Minutes]] / fpl_player_statistics_cleaned[[#This Row],[Total Points]]</f>
        <v>#DIV/0!</v>
      </c>
      <c r="AM69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97" spans="1:39" hidden="1" x14ac:dyDescent="0.2">
      <c r="A697" t="s">
        <v>823</v>
      </c>
      <c r="B697" t="s">
        <v>122</v>
      </c>
      <c r="C697" t="s">
        <v>55</v>
      </c>
      <c r="D697">
        <v>4</v>
      </c>
      <c r="E697">
        <v>0</v>
      </c>
      <c r="F697">
        <v>0</v>
      </c>
      <c r="G697">
        <v>1.4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 t="s">
        <v>429</v>
      </c>
      <c r="Z697">
        <v>625</v>
      </c>
      <c r="AA697">
        <v>47</v>
      </c>
      <c r="AB697">
        <v>442</v>
      </c>
      <c r="AC697">
        <v>41</v>
      </c>
      <c r="AD697">
        <v>499</v>
      </c>
      <c r="AE697">
        <v>48</v>
      </c>
      <c r="AF697">
        <v>149</v>
      </c>
      <c r="AG697">
        <v>20</v>
      </c>
    </row>
    <row r="698" spans="1:39" x14ac:dyDescent="0.2">
      <c r="A698" t="s">
        <v>824</v>
      </c>
      <c r="B698" t="s">
        <v>46</v>
      </c>
      <c r="C698" t="s">
        <v>41</v>
      </c>
      <c r="D698">
        <v>5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 t="s">
        <v>1000</v>
      </c>
      <c r="Z698">
        <v>248</v>
      </c>
      <c r="AA698">
        <v>154</v>
      </c>
      <c r="AB698">
        <v>682</v>
      </c>
      <c r="AC698">
        <v>287</v>
      </c>
      <c r="AD698">
        <v>709</v>
      </c>
      <c r="AE698">
        <v>304</v>
      </c>
      <c r="AF698">
        <v>744</v>
      </c>
      <c r="AG698">
        <v>329</v>
      </c>
      <c r="AH698">
        <f>fpl_player_statistics_cleaned[[#This Row],[Total Points]] / fpl_player_statistics_cleaned[[#This Row],[Now Cost]]</f>
        <v>0</v>
      </c>
      <c r="AI698">
        <f>fpl_player_statistics_cleaned[[#This Row],[Goals Scored]] + fpl_player_statistics_cleaned[[#This Row],[Assists]]</f>
        <v>0</v>
      </c>
      <c r="AJ698" t="e">
        <f>fpl_player_statistics_cleaned[[#This Row],[Total Points]] / fpl_player_statistics_cleaned[[#This Row],[Starts]]</f>
        <v>#DIV/0!</v>
      </c>
      <c r="AK698">
        <f>((fpl_player_statistics_cleaned[[#This Row],[Points Per Game]]) * fpl_player_statistics_cleaned[[#This Row],[Form]]) / fpl_player_statistics_cleaned[[#This Row],[Now Cost]]</f>
        <v>0</v>
      </c>
      <c r="AL698" t="e">
        <f>fpl_player_statistics_cleaned[[#This Row],[Minutes]] / fpl_player_statistics_cleaned[[#This Row],[Total Points]]</f>
        <v>#DIV/0!</v>
      </c>
      <c r="AM69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699" spans="1:39" hidden="1" x14ac:dyDescent="0.2">
      <c r="A699" t="s">
        <v>825</v>
      </c>
      <c r="B699" t="s">
        <v>122</v>
      </c>
      <c r="C699" t="s">
        <v>38</v>
      </c>
      <c r="D699">
        <v>4.5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 t="s">
        <v>826</v>
      </c>
      <c r="Z699">
        <v>458</v>
      </c>
      <c r="AA699">
        <v>97</v>
      </c>
      <c r="AB699">
        <v>617</v>
      </c>
      <c r="AC699">
        <v>230</v>
      </c>
      <c r="AD699">
        <v>660</v>
      </c>
      <c r="AE699">
        <v>239</v>
      </c>
      <c r="AF699">
        <v>750</v>
      </c>
      <c r="AG699">
        <v>249</v>
      </c>
    </row>
    <row r="700" spans="1:39" x14ac:dyDescent="0.2">
      <c r="A700" t="s">
        <v>827</v>
      </c>
      <c r="B700" t="s">
        <v>81</v>
      </c>
      <c r="C700" t="s">
        <v>55</v>
      </c>
      <c r="D700">
        <v>4.3</v>
      </c>
      <c r="E700">
        <v>0</v>
      </c>
      <c r="F700">
        <v>0</v>
      </c>
      <c r="G700">
        <v>0.3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 t="s">
        <v>1000</v>
      </c>
      <c r="Z700">
        <v>568</v>
      </c>
      <c r="AA700">
        <v>31</v>
      </c>
      <c r="AB700">
        <v>506</v>
      </c>
      <c r="AC700">
        <v>69</v>
      </c>
      <c r="AD700">
        <v>561</v>
      </c>
      <c r="AE700">
        <v>76</v>
      </c>
      <c r="AF700">
        <v>319</v>
      </c>
      <c r="AG700">
        <v>45</v>
      </c>
      <c r="AH700">
        <f>fpl_player_statistics_cleaned[[#This Row],[Total Points]] / fpl_player_statistics_cleaned[[#This Row],[Now Cost]]</f>
        <v>0</v>
      </c>
      <c r="AI700">
        <f>fpl_player_statistics_cleaned[[#This Row],[Goals Scored]] + fpl_player_statistics_cleaned[[#This Row],[Assists]]</f>
        <v>0</v>
      </c>
      <c r="AJ700" t="e">
        <f>fpl_player_statistics_cleaned[[#This Row],[Total Points]] / fpl_player_statistics_cleaned[[#This Row],[Starts]]</f>
        <v>#DIV/0!</v>
      </c>
      <c r="AK700">
        <f>((fpl_player_statistics_cleaned[[#This Row],[Points Per Game]]) * fpl_player_statistics_cleaned[[#This Row],[Form]]) / fpl_player_statistics_cleaned[[#This Row],[Now Cost]]</f>
        <v>0</v>
      </c>
      <c r="AL700" t="e">
        <f>fpl_player_statistics_cleaned[[#This Row],[Minutes]] / fpl_player_statistics_cleaned[[#This Row],[Total Points]]</f>
        <v>#DIV/0!</v>
      </c>
      <c r="AM700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701" spans="1:39" hidden="1" x14ac:dyDescent="0.2">
      <c r="A701" t="s">
        <v>991</v>
      </c>
      <c r="B701" t="s">
        <v>63</v>
      </c>
      <c r="C701" t="s">
        <v>41</v>
      </c>
      <c r="D701">
        <v>8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 t="s">
        <v>828</v>
      </c>
      <c r="Z701">
        <v>16</v>
      </c>
      <c r="AA701">
        <v>10</v>
      </c>
      <c r="AB701">
        <v>748</v>
      </c>
      <c r="AC701">
        <v>332</v>
      </c>
      <c r="AD701">
        <v>751</v>
      </c>
      <c r="AE701">
        <v>333</v>
      </c>
      <c r="AF701">
        <v>578</v>
      </c>
      <c r="AG701">
        <v>217</v>
      </c>
    </row>
    <row r="702" spans="1:39" x14ac:dyDescent="0.2">
      <c r="A702" t="s">
        <v>829</v>
      </c>
      <c r="B702" t="s">
        <v>81</v>
      </c>
      <c r="C702" t="s">
        <v>55</v>
      </c>
      <c r="D702">
        <v>4</v>
      </c>
      <c r="E702">
        <v>0</v>
      </c>
      <c r="F702">
        <v>0</v>
      </c>
      <c r="G702">
        <v>0.3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 t="s">
        <v>1000</v>
      </c>
      <c r="Z702">
        <v>633</v>
      </c>
      <c r="AA702">
        <v>52</v>
      </c>
      <c r="AB702">
        <v>450</v>
      </c>
      <c r="AC702">
        <v>46</v>
      </c>
      <c r="AD702">
        <v>507</v>
      </c>
      <c r="AE702">
        <v>53</v>
      </c>
      <c r="AF702">
        <v>293</v>
      </c>
      <c r="AG702">
        <v>40</v>
      </c>
      <c r="AH702">
        <f>fpl_player_statistics_cleaned[[#This Row],[Total Points]] / fpl_player_statistics_cleaned[[#This Row],[Now Cost]]</f>
        <v>0</v>
      </c>
      <c r="AI702">
        <f>fpl_player_statistics_cleaned[[#This Row],[Goals Scored]] + fpl_player_statistics_cleaned[[#This Row],[Assists]]</f>
        <v>0</v>
      </c>
      <c r="AJ702" t="e">
        <f>fpl_player_statistics_cleaned[[#This Row],[Total Points]] / fpl_player_statistics_cleaned[[#This Row],[Starts]]</f>
        <v>#DIV/0!</v>
      </c>
      <c r="AK702">
        <f>((fpl_player_statistics_cleaned[[#This Row],[Points Per Game]]) * fpl_player_statistics_cleaned[[#This Row],[Form]]) / fpl_player_statistics_cleaned[[#This Row],[Now Cost]]</f>
        <v>0</v>
      </c>
      <c r="AL702" t="e">
        <f>fpl_player_statistics_cleaned[[#This Row],[Minutes]] / fpl_player_statistics_cleaned[[#This Row],[Total Points]]</f>
        <v>#DIV/0!</v>
      </c>
      <c r="AM70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703" spans="1:39" hidden="1" x14ac:dyDescent="0.2">
      <c r="A703" t="s">
        <v>830</v>
      </c>
      <c r="B703" t="s">
        <v>81</v>
      </c>
      <c r="C703" t="s">
        <v>55</v>
      </c>
      <c r="D703">
        <v>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 t="s">
        <v>831</v>
      </c>
      <c r="Z703">
        <v>656</v>
      </c>
      <c r="AA703">
        <v>62</v>
      </c>
      <c r="AB703">
        <v>468</v>
      </c>
      <c r="AC703">
        <v>56</v>
      </c>
      <c r="AD703">
        <v>525</v>
      </c>
      <c r="AE703">
        <v>63</v>
      </c>
      <c r="AF703">
        <v>739</v>
      </c>
      <c r="AG703">
        <v>84</v>
      </c>
    </row>
    <row r="704" spans="1:39" hidden="1" x14ac:dyDescent="0.2">
      <c r="A704" t="s">
        <v>832</v>
      </c>
      <c r="B704" t="s">
        <v>81</v>
      </c>
      <c r="C704" t="s">
        <v>55</v>
      </c>
      <c r="D704">
        <v>4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 t="s">
        <v>833</v>
      </c>
      <c r="Z704">
        <v>640</v>
      </c>
      <c r="AA704">
        <v>56</v>
      </c>
      <c r="AB704">
        <v>456</v>
      </c>
      <c r="AC704">
        <v>50</v>
      </c>
      <c r="AD704">
        <v>513</v>
      </c>
      <c r="AE704">
        <v>57</v>
      </c>
      <c r="AF704">
        <v>740</v>
      </c>
      <c r="AG704">
        <v>85</v>
      </c>
    </row>
    <row r="705" spans="1:39" x14ac:dyDescent="0.2">
      <c r="A705" t="s">
        <v>834</v>
      </c>
      <c r="B705" t="s">
        <v>81</v>
      </c>
      <c r="C705" t="s">
        <v>38</v>
      </c>
      <c r="D705">
        <v>4.3</v>
      </c>
      <c r="E705">
        <v>0</v>
      </c>
      <c r="F705">
        <v>0</v>
      </c>
      <c r="G705">
        <v>0.1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 t="s">
        <v>1000</v>
      </c>
      <c r="Z705">
        <v>582</v>
      </c>
      <c r="AA705">
        <v>141</v>
      </c>
      <c r="AB705">
        <v>515</v>
      </c>
      <c r="AC705">
        <v>213</v>
      </c>
      <c r="AD705">
        <v>565</v>
      </c>
      <c r="AE705">
        <v>225</v>
      </c>
      <c r="AF705">
        <v>500</v>
      </c>
      <c r="AG705">
        <v>182</v>
      </c>
      <c r="AH705">
        <f>fpl_player_statistics_cleaned[[#This Row],[Total Points]] / fpl_player_statistics_cleaned[[#This Row],[Now Cost]]</f>
        <v>0</v>
      </c>
      <c r="AI705">
        <f>fpl_player_statistics_cleaned[[#This Row],[Goals Scored]] + fpl_player_statistics_cleaned[[#This Row],[Assists]]</f>
        <v>0</v>
      </c>
      <c r="AJ705" t="e">
        <f>fpl_player_statistics_cleaned[[#This Row],[Total Points]] / fpl_player_statistics_cleaned[[#This Row],[Starts]]</f>
        <v>#DIV/0!</v>
      </c>
      <c r="AK705">
        <f>((fpl_player_statistics_cleaned[[#This Row],[Points Per Game]]) * fpl_player_statistics_cleaned[[#This Row],[Form]]) / fpl_player_statistics_cleaned[[#This Row],[Now Cost]]</f>
        <v>0</v>
      </c>
      <c r="AL705" t="e">
        <f>fpl_player_statistics_cleaned[[#This Row],[Minutes]] / fpl_player_statistics_cleaned[[#This Row],[Total Points]]</f>
        <v>#DIV/0!</v>
      </c>
      <c r="AM70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706" spans="1:39" hidden="1" x14ac:dyDescent="0.2">
      <c r="A706" t="s">
        <v>835</v>
      </c>
      <c r="B706" t="s">
        <v>122</v>
      </c>
      <c r="C706" t="s">
        <v>41</v>
      </c>
      <c r="D706">
        <v>5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 t="s">
        <v>836</v>
      </c>
      <c r="Z706">
        <v>263</v>
      </c>
      <c r="AA706">
        <v>163</v>
      </c>
      <c r="AB706">
        <v>685</v>
      </c>
      <c r="AC706">
        <v>289</v>
      </c>
      <c r="AD706">
        <v>711</v>
      </c>
      <c r="AE706">
        <v>306</v>
      </c>
      <c r="AF706">
        <v>746</v>
      </c>
      <c r="AG706">
        <v>331</v>
      </c>
    </row>
    <row r="707" spans="1:39" hidden="1" x14ac:dyDescent="0.2">
      <c r="A707" t="s">
        <v>992</v>
      </c>
      <c r="B707" t="s">
        <v>81</v>
      </c>
      <c r="C707" t="s">
        <v>38</v>
      </c>
      <c r="D707">
        <v>4.5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 t="s">
        <v>837</v>
      </c>
      <c r="Z707">
        <v>406</v>
      </c>
      <c r="AA707">
        <v>77</v>
      </c>
      <c r="AB707">
        <v>583</v>
      </c>
      <c r="AC707">
        <v>225</v>
      </c>
      <c r="AD707">
        <v>627</v>
      </c>
      <c r="AE707">
        <v>234</v>
      </c>
      <c r="AF707">
        <v>698</v>
      </c>
      <c r="AG707">
        <v>236</v>
      </c>
    </row>
    <row r="708" spans="1:39" hidden="1" x14ac:dyDescent="0.2">
      <c r="A708" t="s">
        <v>838</v>
      </c>
      <c r="B708" t="s">
        <v>81</v>
      </c>
      <c r="C708" t="s">
        <v>38</v>
      </c>
      <c r="D708">
        <v>4.4000000000000004</v>
      </c>
      <c r="E708">
        <v>0</v>
      </c>
      <c r="F708">
        <v>0</v>
      </c>
      <c r="G708">
        <v>0.1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 t="s">
        <v>839</v>
      </c>
      <c r="Z708">
        <v>511</v>
      </c>
      <c r="AA708">
        <v>119</v>
      </c>
      <c r="AB708">
        <v>535</v>
      </c>
      <c r="AC708">
        <v>221</v>
      </c>
      <c r="AD708">
        <v>582</v>
      </c>
      <c r="AE708">
        <v>231</v>
      </c>
      <c r="AF708">
        <v>460</v>
      </c>
      <c r="AG708">
        <v>168</v>
      </c>
    </row>
    <row r="709" spans="1:39" hidden="1" x14ac:dyDescent="0.2">
      <c r="A709" t="s">
        <v>840</v>
      </c>
      <c r="B709" t="s">
        <v>81</v>
      </c>
      <c r="C709" t="s">
        <v>38</v>
      </c>
      <c r="D709">
        <v>4.4000000000000004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 t="s">
        <v>429</v>
      </c>
      <c r="Z709">
        <v>496</v>
      </c>
      <c r="AA709">
        <v>107</v>
      </c>
      <c r="AB709">
        <v>530</v>
      </c>
      <c r="AC709">
        <v>218</v>
      </c>
      <c r="AD709">
        <v>578</v>
      </c>
      <c r="AE709">
        <v>229</v>
      </c>
      <c r="AF709">
        <v>715</v>
      </c>
      <c r="AG709">
        <v>240</v>
      </c>
    </row>
    <row r="710" spans="1:39" hidden="1" x14ac:dyDescent="0.2">
      <c r="A710" t="s">
        <v>841</v>
      </c>
      <c r="B710" t="s">
        <v>122</v>
      </c>
      <c r="C710" t="s">
        <v>41</v>
      </c>
      <c r="D710">
        <v>4.5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 t="s">
        <v>842</v>
      </c>
      <c r="Z710">
        <v>439</v>
      </c>
      <c r="AA710">
        <v>261</v>
      </c>
      <c r="AB710">
        <v>603</v>
      </c>
      <c r="AC710">
        <v>233</v>
      </c>
      <c r="AD710">
        <v>646</v>
      </c>
      <c r="AE710">
        <v>259</v>
      </c>
      <c r="AF710">
        <v>655</v>
      </c>
      <c r="AG710">
        <v>272</v>
      </c>
    </row>
    <row r="711" spans="1:39" hidden="1" x14ac:dyDescent="0.2">
      <c r="A711" t="s">
        <v>843</v>
      </c>
      <c r="B711" t="s">
        <v>122</v>
      </c>
      <c r="C711" t="s">
        <v>41</v>
      </c>
      <c r="D711">
        <v>4.5</v>
      </c>
      <c r="E711">
        <v>0</v>
      </c>
      <c r="F711">
        <v>0</v>
      </c>
      <c r="G711">
        <v>0.1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 t="s">
        <v>803</v>
      </c>
      <c r="Z711">
        <v>460</v>
      </c>
      <c r="AA711">
        <v>277</v>
      </c>
      <c r="AB711">
        <v>618</v>
      </c>
      <c r="AC711">
        <v>246</v>
      </c>
      <c r="AD711">
        <v>661</v>
      </c>
      <c r="AE711">
        <v>272</v>
      </c>
      <c r="AF711">
        <v>540</v>
      </c>
      <c r="AG711">
        <v>196</v>
      </c>
    </row>
    <row r="712" spans="1:39" hidden="1" x14ac:dyDescent="0.2">
      <c r="A712" t="s">
        <v>844</v>
      </c>
      <c r="B712" t="s">
        <v>81</v>
      </c>
      <c r="C712" t="s">
        <v>38</v>
      </c>
      <c r="D712">
        <v>4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 t="s">
        <v>845</v>
      </c>
      <c r="Z712">
        <v>645</v>
      </c>
      <c r="AA712">
        <v>171</v>
      </c>
      <c r="AB712">
        <v>459</v>
      </c>
      <c r="AC712">
        <v>178</v>
      </c>
      <c r="AD712">
        <v>516</v>
      </c>
      <c r="AE712">
        <v>195</v>
      </c>
      <c r="AF712">
        <v>719</v>
      </c>
      <c r="AG712">
        <v>241</v>
      </c>
    </row>
    <row r="713" spans="1:39" hidden="1" x14ac:dyDescent="0.2">
      <c r="A713" t="s">
        <v>846</v>
      </c>
      <c r="B713" t="s">
        <v>81</v>
      </c>
      <c r="C713" t="s">
        <v>38</v>
      </c>
      <c r="D713">
        <v>4</v>
      </c>
      <c r="E713">
        <v>0</v>
      </c>
      <c r="F713">
        <v>0</v>
      </c>
      <c r="G713">
        <v>0.1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 t="s">
        <v>847</v>
      </c>
      <c r="Z713">
        <v>688</v>
      </c>
      <c r="AA713">
        <v>198</v>
      </c>
      <c r="AB713">
        <v>496</v>
      </c>
      <c r="AC713">
        <v>199</v>
      </c>
      <c r="AD713">
        <v>551</v>
      </c>
      <c r="AE713">
        <v>214</v>
      </c>
      <c r="AF713">
        <v>451</v>
      </c>
      <c r="AG713">
        <v>164</v>
      </c>
    </row>
    <row r="714" spans="1:39" x14ac:dyDescent="0.2">
      <c r="A714" t="s">
        <v>848</v>
      </c>
      <c r="B714" t="s">
        <v>72</v>
      </c>
      <c r="C714" t="s">
        <v>55</v>
      </c>
      <c r="D714">
        <v>4.8</v>
      </c>
      <c r="E714">
        <v>0</v>
      </c>
      <c r="F714">
        <v>0</v>
      </c>
      <c r="G714">
        <v>0.6</v>
      </c>
      <c r="H714">
        <v>0</v>
      </c>
      <c r="I714">
        <v>0</v>
      </c>
      <c r="J714">
        <v>13</v>
      </c>
      <c r="K714">
        <v>0</v>
      </c>
      <c r="L714">
        <v>2</v>
      </c>
      <c r="M714">
        <v>1</v>
      </c>
      <c r="N714">
        <v>0</v>
      </c>
      <c r="O714">
        <v>0.9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1.82</v>
      </c>
      <c r="X714">
        <v>0</v>
      </c>
      <c r="Y714" t="s">
        <v>1000</v>
      </c>
      <c r="Z714">
        <v>362</v>
      </c>
      <c r="AA714">
        <v>16</v>
      </c>
      <c r="AB714">
        <v>652</v>
      </c>
      <c r="AC714">
        <v>82</v>
      </c>
      <c r="AD714">
        <v>687</v>
      </c>
      <c r="AE714">
        <v>84</v>
      </c>
      <c r="AF714">
        <v>224</v>
      </c>
      <c r="AG714">
        <v>31</v>
      </c>
      <c r="AH714">
        <f>fpl_player_statistics_cleaned[[#This Row],[Total Points]] / fpl_player_statistics_cleaned[[#This Row],[Now Cost]]</f>
        <v>0</v>
      </c>
      <c r="AI714">
        <f>fpl_player_statistics_cleaned[[#This Row],[Goals Scored]] + fpl_player_statistics_cleaned[[#This Row],[Assists]]</f>
        <v>0</v>
      </c>
      <c r="AJ714" t="e">
        <f>fpl_player_statistics_cleaned[[#This Row],[Total Points]] / fpl_player_statistics_cleaned[[#This Row],[Starts]]</f>
        <v>#DIV/0!</v>
      </c>
      <c r="AK714">
        <f>((fpl_player_statistics_cleaned[[#This Row],[Points Per Game]]) * fpl_player_statistics_cleaned[[#This Row],[Form]]) / fpl_player_statistics_cleaned[[#This Row],[Now Cost]]</f>
        <v>0</v>
      </c>
      <c r="AL714" t="e">
        <f>fpl_player_statistics_cleaned[[#This Row],[Minutes]] / fpl_player_statistics_cleaned[[#This Row],[Total Points]]</f>
        <v>#DIV/0!</v>
      </c>
      <c r="AM71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715" spans="1:39" x14ac:dyDescent="0.2">
      <c r="A715" t="s">
        <v>849</v>
      </c>
      <c r="B715" t="s">
        <v>72</v>
      </c>
      <c r="C715" t="s">
        <v>35</v>
      </c>
      <c r="D715">
        <v>4.4000000000000004</v>
      </c>
      <c r="E715">
        <v>0</v>
      </c>
      <c r="F715">
        <v>0</v>
      </c>
      <c r="G715">
        <v>0.2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 t="s">
        <v>1000</v>
      </c>
      <c r="Z715">
        <v>562</v>
      </c>
      <c r="AA715">
        <v>78</v>
      </c>
      <c r="AB715">
        <v>572</v>
      </c>
      <c r="AC715">
        <v>62</v>
      </c>
      <c r="AD715">
        <v>617</v>
      </c>
      <c r="AE715">
        <v>67</v>
      </c>
      <c r="AF715">
        <v>346</v>
      </c>
      <c r="AG715">
        <v>55</v>
      </c>
      <c r="AH715">
        <f>fpl_player_statistics_cleaned[[#This Row],[Total Points]] / fpl_player_statistics_cleaned[[#This Row],[Now Cost]]</f>
        <v>0</v>
      </c>
      <c r="AI715">
        <f>fpl_player_statistics_cleaned[[#This Row],[Goals Scored]] + fpl_player_statistics_cleaned[[#This Row],[Assists]]</f>
        <v>0</v>
      </c>
      <c r="AJ715" t="e">
        <f>fpl_player_statistics_cleaned[[#This Row],[Total Points]] / fpl_player_statistics_cleaned[[#This Row],[Starts]]</f>
        <v>#DIV/0!</v>
      </c>
      <c r="AK715">
        <f>((fpl_player_statistics_cleaned[[#This Row],[Points Per Game]]) * fpl_player_statistics_cleaned[[#This Row],[Form]]) / fpl_player_statistics_cleaned[[#This Row],[Now Cost]]</f>
        <v>0</v>
      </c>
      <c r="AL715" t="e">
        <f>fpl_player_statistics_cleaned[[#This Row],[Minutes]] / fpl_player_statistics_cleaned[[#This Row],[Total Points]]</f>
        <v>#DIV/0!</v>
      </c>
      <c r="AM71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716" spans="1:39" hidden="1" x14ac:dyDescent="0.2">
      <c r="A716" t="s">
        <v>993</v>
      </c>
      <c r="B716" t="s">
        <v>47</v>
      </c>
      <c r="C716" t="s">
        <v>38</v>
      </c>
      <c r="D716">
        <v>4.4000000000000004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65</v>
      </c>
      <c r="K716">
        <v>0</v>
      </c>
      <c r="L716">
        <v>2</v>
      </c>
      <c r="M716">
        <v>0</v>
      </c>
      <c r="N716">
        <v>0</v>
      </c>
      <c r="O716">
        <v>1.8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0.02</v>
      </c>
      <c r="V716">
        <v>0.02</v>
      </c>
      <c r="W716">
        <v>2.17</v>
      </c>
      <c r="X716">
        <v>1</v>
      </c>
      <c r="Y716" t="s">
        <v>255</v>
      </c>
      <c r="Z716">
        <v>513</v>
      </c>
      <c r="AA716">
        <v>121</v>
      </c>
      <c r="AB716">
        <v>536</v>
      </c>
      <c r="AC716">
        <v>222</v>
      </c>
      <c r="AD716">
        <v>583</v>
      </c>
      <c r="AE716">
        <v>232</v>
      </c>
      <c r="AF716">
        <v>675</v>
      </c>
      <c r="AG716">
        <v>229</v>
      </c>
    </row>
    <row r="717" spans="1:39" x14ac:dyDescent="0.2">
      <c r="A717" t="s">
        <v>850</v>
      </c>
      <c r="B717" t="s">
        <v>43</v>
      </c>
      <c r="C717" t="s">
        <v>41</v>
      </c>
      <c r="D717">
        <v>4.4000000000000004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 t="s">
        <v>1000</v>
      </c>
      <c r="Z717">
        <v>522</v>
      </c>
      <c r="AA717">
        <v>303</v>
      </c>
      <c r="AB717">
        <v>543</v>
      </c>
      <c r="AC717">
        <v>192</v>
      </c>
      <c r="AD717">
        <v>590</v>
      </c>
      <c r="AE717">
        <v>219</v>
      </c>
      <c r="AF717">
        <v>584</v>
      </c>
      <c r="AG717">
        <v>222</v>
      </c>
      <c r="AH717">
        <f>fpl_player_statistics_cleaned[[#This Row],[Total Points]] / fpl_player_statistics_cleaned[[#This Row],[Now Cost]]</f>
        <v>0</v>
      </c>
      <c r="AI717">
        <f>fpl_player_statistics_cleaned[[#This Row],[Goals Scored]] + fpl_player_statistics_cleaned[[#This Row],[Assists]]</f>
        <v>0</v>
      </c>
      <c r="AJ717" t="e">
        <f>fpl_player_statistics_cleaned[[#This Row],[Total Points]] / fpl_player_statistics_cleaned[[#This Row],[Starts]]</f>
        <v>#DIV/0!</v>
      </c>
      <c r="AK717">
        <f>((fpl_player_statistics_cleaned[[#This Row],[Points Per Game]]) * fpl_player_statistics_cleaned[[#This Row],[Form]]) / fpl_player_statistics_cleaned[[#This Row],[Now Cost]]</f>
        <v>0</v>
      </c>
      <c r="AL717" t="e">
        <f>fpl_player_statistics_cleaned[[#This Row],[Minutes]] / fpl_player_statistics_cleaned[[#This Row],[Total Points]]</f>
        <v>#DIV/0!</v>
      </c>
      <c r="AM71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718" spans="1:39" hidden="1" x14ac:dyDescent="0.2">
      <c r="A718" t="s">
        <v>851</v>
      </c>
      <c r="B718" t="s">
        <v>43</v>
      </c>
      <c r="C718" t="s">
        <v>38</v>
      </c>
      <c r="D718">
        <v>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 t="s">
        <v>852</v>
      </c>
      <c r="Z718">
        <v>629</v>
      </c>
      <c r="AA718">
        <v>162</v>
      </c>
      <c r="AB718">
        <v>446</v>
      </c>
      <c r="AC718">
        <v>172</v>
      </c>
      <c r="AD718">
        <v>503</v>
      </c>
      <c r="AE718">
        <v>189</v>
      </c>
      <c r="AF718">
        <v>658</v>
      </c>
      <c r="AG718">
        <v>225</v>
      </c>
    </row>
    <row r="719" spans="1:39" hidden="1" x14ac:dyDescent="0.2">
      <c r="A719" t="s">
        <v>853</v>
      </c>
      <c r="B719" t="s">
        <v>43</v>
      </c>
      <c r="C719" t="s">
        <v>38</v>
      </c>
      <c r="D719">
        <v>4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 t="s">
        <v>854</v>
      </c>
      <c r="Z719">
        <v>689</v>
      </c>
      <c r="AA719">
        <v>199</v>
      </c>
      <c r="AB719">
        <v>497</v>
      </c>
      <c r="AC719">
        <v>200</v>
      </c>
      <c r="AD719">
        <v>552</v>
      </c>
      <c r="AE719">
        <v>215</v>
      </c>
      <c r="AF719">
        <v>683</v>
      </c>
      <c r="AG719">
        <v>233</v>
      </c>
    </row>
    <row r="720" spans="1:39" hidden="1" x14ac:dyDescent="0.2">
      <c r="A720" t="s">
        <v>994</v>
      </c>
      <c r="B720" t="s">
        <v>43</v>
      </c>
      <c r="C720" t="s">
        <v>41</v>
      </c>
      <c r="D720">
        <v>4.9000000000000004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 t="s">
        <v>429</v>
      </c>
      <c r="Z720">
        <v>322</v>
      </c>
      <c r="AA720">
        <v>203</v>
      </c>
      <c r="AB720">
        <v>671</v>
      </c>
      <c r="AC720">
        <v>280</v>
      </c>
      <c r="AD720">
        <v>700</v>
      </c>
      <c r="AE720">
        <v>298</v>
      </c>
      <c r="AF720">
        <v>735</v>
      </c>
      <c r="AG720">
        <v>324</v>
      </c>
    </row>
    <row r="721" spans="1:39" hidden="1" x14ac:dyDescent="0.2">
      <c r="A721" t="s">
        <v>855</v>
      </c>
      <c r="B721" t="s">
        <v>72</v>
      </c>
      <c r="C721" t="s">
        <v>55</v>
      </c>
      <c r="D721">
        <v>4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 t="s">
        <v>856</v>
      </c>
      <c r="Z721">
        <v>626</v>
      </c>
      <c r="AA721">
        <v>48</v>
      </c>
      <c r="AB721">
        <v>443</v>
      </c>
      <c r="AC721">
        <v>42</v>
      </c>
      <c r="AD721">
        <v>500</v>
      </c>
      <c r="AE721">
        <v>49</v>
      </c>
      <c r="AF721">
        <v>665</v>
      </c>
      <c r="AG721">
        <v>80</v>
      </c>
    </row>
    <row r="722" spans="1:39" x14ac:dyDescent="0.2">
      <c r="A722" t="s">
        <v>857</v>
      </c>
      <c r="B722" t="s">
        <v>72</v>
      </c>
      <c r="C722" t="s">
        <v>55</v>
      </c>
      <c r="D722">
        <v>4</v>
      </c>
      <c r="E722">
        <v>0</v>
      </c>
      <c r="F722">
        <v>0</v>
      </c>
      <c r="G722">
        <v>0.1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 t="s">
        <v>1000</v>
      </c>
      <c r="Z722">
        <v>620</v>
      </c>
      <c r="AA722">
        <v>43</v>
      </c>
      <c r="AB722">
        <v>437</v>
      </c>
      <c r="AC722">
        <v>37</v>
      </c>
      <c r="AD722">
        <v>494</v>
      </c>
      <c r="AE722">
        <v>44</v>
      </c>
      <c r="AF722">
        <v>419</v>
      </c>
      <c r="AG722">
        <v>64</v>
      </c>
      <c r="AH722">
        <f>fpl_player_statistics_cleaned[[#This Row],[Total Points]] / fpl_player_statistics_cleaned[[#This Row],[Now Cost]]</f>
        <v>0</v>
      </c>
      <c r="AI722">
        <f>fpl_player_statistics_cleaned[[#This Row],[Goals Scored]] + fpl_player_statistics_cleaned[[#This Row],[Assists]]</f>
        <v>0</v>
      </c>
      <c r="AJ722" t="e">
        <f>fpl_player_statistics_cleaned[[#This Row],[Total Points]] / fpl_player_statistics_cleaned[[#This Row],[Starts]]</f>
        <v>#DIV/0!</v>
      </c>
      <c r="AK722">
        <f>((fpl_player_statistics_cleaned[[#This Row],[Points Per Game]]) * fpl_player_statistics_cleaned[[#This Row],[Form]]) / fpl_player_statistics_cleaned[[#This Row],[Now Cost]]</f>
        <v>0</v>
      </c>
      <c r="AL722" t="e">
        <f>fpl_player_statistics_cleaned[[#This Row],[Minutes]] / fpl_player_statistics_cleaned[[#This Row],[Total Points]]</f>
        <v>#DIV/0!</v>
      </c>
      <c r="AM72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723" spans="1:39" hidden="1" x14ac:dyDescent="0.2">
      <c r="A723" t="s">
        <v>858</v>
      </c>
      <c r="B723" t="s">
        <v>72</v>
      </c>
      <c r="C723" t="s">
        <v>35</v>
      </c>
      <c r="D723">
        <v>7.3</v>
      </c>
      <c r="E723">
        <v>0</v>
      </c>
      <c r="F723">
        <v>0</v>
      </c>
      <c r="G723">
        <v>0.5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 t="s">
        <v>142</v>
      </c>
      <c r="Z723">
        <v>26</v>
      </c>
      <c r="AA723">
        <v>10</v>
      </c>
      <c r="AB723">
        <v>745</v>
      </c>
      <c r="AC723">
        <v>82</v>
      </c>
      <c r="AD723">
        <v>750</v>
      </c>
      <c r="AE723">
        <v>83</v>
      </c>
      <c r="AF723">
        <v>235</v>
      </c>
      <c r="AG723">
        <v>36</v>
      </c>
    </row>
    <row r="724" spans="1:39" x14ac:dyDescent="0.2">
      <c r="A724" t="s">
        <v>859</v>
      </c>
      <c r="B724" t="s">
        <v>43</v>
      </c>
      <c r="C724" t="s">
        <v>41</v>
      </c>
      <c r="D724">
        <v>4.4000000000000004</v>
      </c>
      <c r="E724">
        <v>0</v>
      </c>
      <c r="F724">
        <v>0</v>
      </c>
      <c r="G724">
        <v>0.1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 t="s">
        <v>1000</v>
      </c>
      <c r="Z724">
        <v>556</v>
      </c>
      <c r="AA724">
        <v>320</v>
      </c>
      <c r="AB724">
        <v>566</v>
      </c>
      <c r="AC724">
        <v>207</v>
      </c>
      <c r="AD724">
        <v>611</v>
      </c>
      <c r="AE724">
        <v>234</v>
      </c>
      <c r="AF724">
        <v>568</v>
      </c>
      <c r="AG724">
        <v>211</v>
      </c>
      <c r="AH724">
        <f>fpl_player_statistics_cleaned[[#This Row],[Total Points]] / fpl_player_statistics_cleaned[[#This Row],[Now Cost]]</f>
        <v>0</v>
      </c>
      <c r="AI724">
        <f>fpl_player_statistics_cleaned[[#This Row],[Goals Scored]] + fpl_player_statistics_cleaned[[#This Row],[Assists]]</f>
        <v>0</v>
      </c>
      <c r="AJ724" t="e">
        <f>fpl_player_statistics_cleaned[[#This Row],[Total Points]] / fpl_player_statistics_cleaned[[#This Row],[Starts]]</f>
        <v>#DIV/0!</v>
      </c>
      <c r="AK724">
        <f>((fpl_player_statistics_cleaned[[#This Row],[Points Per Game]]) * fpl_player_statistics_cleaned[[#This Row],[Form]]) / fpl_player_statistics_cleaned[[#This Row],[Now Cost]]</f>
        <v>0</v>
      </c>
      <c r="AL724" t="e">
        <f>fpl_player_statistics_cleaned[[#This Row],[Minutes]] / fpl_player_statistics_cleaned[[#This Row],[Total Points]]</f>
        <v>#DIV/0!</v>
      </c>
      <c r="AM72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725" spans="1:39" hidden="1" x14ac:dyDescent="0.2">
      <c r="A725" t="s">
        <v>860</v>
      </c>
      <c r="B725" t="s">
        <v>43</v>
      </c>
      <c r="C725" t="s">
        <v>41</v>
      </c>
      <c r="D725">
        <v>4.5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 t="s">
        <v>861</v>
      </c>
      <c r="Z725">
        <v>424</v>
      </c>
      <c r="AA725">
        <v>252</v>
      </c>
      <c r="AB725">
        <v>592</v>
      </c>
      <c r="AC725">
        <v>224</v>
      </c>
      <c r="AD725">
        <v>635</v>
      </c>
      <c r="AE725">
        <v>250</v>
      </c>
      <c r="AF725">
        <v>733</v>
      </c>
      <c r="AG725">
        <v>323</v>
      </c>
    </row>
    <row r="726" spans="1:39" hidden="1" x14ac:dyDescent="0.2">
      <c r="A726" t="s">
        <v>862</v>
      </c>
      <c r="B726" t="s">
        <v>72</v>
      </c>
      <c r="C726" t="s">
        <v>41</v>
      </c>
      <c r="D726">
        <v>4.5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 t="s">
        <v>863</v>
      </c>
      <c r="Z726">
        <v>429</v>
      </c>
      <c r="AA726">
        <v>255</v>
      </c>
      <c r="AB726">
        <v>596</v>
      </c>
      <c r="AC726">
        <v>227</v>
      </c>
      <c r="AD726">
        <v>639</v>
      </c>
      <c r="AE726">
        <v>253</v>
      </c>
      <c r="AF726">
        <v>718</v>
      </c>
      <c r="AG726">
        <v>315</v>
      </c>
    </row>
    <row r="727" spans="1:39" hidden="1" x14ac:dyDescent="0.2">
      <c r="A727" t="s">
        <v>864</v>
      </c>
      <c r="B727" t="s">
        <v>49</v>
      </c>
      <c r="C727" t="s">
        <v>35</v>
      </c>
      <c r="D727">
        <v>4.5</v>
      </c>
      <c r="E727">
        <v>0</v>
      </c>
      <c r="F727">
        <v>0</v>
      </c>
      <c r="G727">
        <v>0.1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 t="s">
        <v>865</v>
      </c>
      <c r="Z727">
        <v>464</v>
      </c>
      <c r="AA727">
        <v>62</v>
      </c>
      <c r="AB727">
        <v>622</v>
      </c>
      <c r="AC727">
        <v>64</v>
      </c>
      <c r="AD727">
        <v>665</v>
      </c>
      <c r="AE727">
        <v>69</v>
      </c>
      <c r="AF727">
        <v>474</v>
      </c>
      <c r="AG727">
        <v>67</v>
      </c>
    </row>
    <row r="728" spans="1:39" x14ac:dyDescent="0.2">
      <c r="A728" t="s">
        <v>866</v>
      </c>
      <c r="B728" t="s">
        <v>49</v>
      </c>
      <c r="C728" t="s">
        <v>35</v>
      </c>
      <c r="D728">
        <v>4.3</v>
      </c>
      <c r="E728">
        <v>0</v>
      </c>
      <c r="F728">
        <v>0</v>
      </c>
      <c r="G728">
        <v>1.5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 t="s">
        <v>1000</v>
      </c>
      <c r="Z728">
        <v>605</v>
      </c>
      <c r="AA728">
        <v>81</v>
      </c>
      <c r="AB728">
        <v>526</v>
      </c>
      <c r="AC728">
        <v>51</v>
      </c>
      <c r="AD728">
        <v>575</v>
      </c>
      <c r="AE728">
        <v>56</v>
      </c>
      <c r="AF728">
        <v>148</v>
      </c>
      <c r="AG728">
        <v>21</v>
      </c>
      <c r="AH728">
        <f>fpl_player_statistics_cleaned[[#This Row],[Total Points]] / fpl_player_statistics_cleaned[[#This Row],[Now Cost]]</f>
        <v>0</v>
      </c>
      <c r="AI728">
        <f>fpl_player_statistics_cleaned[[#This Row],[Goals Scored]] + fpl_player_statistics_cleaned[[#This Row],[Assists]]</f>
        <v>0</v>
      </c>
      <c r="AJ728" t="e">
        <f>fpl_player_statistics_cleaned[[#This Row],[Total Points]] / fpl_player_statistics_cleaned[[#This Row],[Starts]]</f>
        <v>#DIV/0!</v>
      </c>
      <c r="AK728">
        <f>((fpl_player_statistics_cleaned[[#This Row],[Points Per Game]]) * fpl_player_statistics_cleaned[[#This Row],[Form]]) / fpl_player_statistics_cleaned[[#This Row],[Now Cost]]</f>
        <v>0</v>
      </c>
      <c r="AL728" t="e">
        <f>fpl_player_statistics_cleaned[[#This Row],[Minutes]] / fpl_player_statistics_cleaned[[#This Row],[Total Points]]</f>
        <v>#DIV/0!</v>
      </c>
      <c r="AM72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729" spans="1:39" hidden="1" x14ac:dyDescent="0.2">
      <c r="A729" t="s">
        <v>867</v>
      </c>
      <c r="B729" t="s">
        <v>43</v>
      </c>
      <c r="C729" t="s">
        <v>41</v>
      </c>
      <c r="D729">
        <v>4.4000000000000004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 t="s">
        <v>868</v>
      </c>
      <c r="Z729">
        <v>521</v>
      </c>
      <c r="AA729">
        <v>302</v>
      </c>
      <c r="AB729">
        <v>542</v>
      </c>
      <c r="AC729">
        <v>191</v>
      </c>
      <c r="AD729">
        <v>589</v>
      </c>
      <c r="AE729">
        <v>218</v>
      </c>
      <c r="AF729">
        <v>603</v>
      </c>
      <c r="AG729">
        <v>239</v>
      </c>
    </row>
    <row r="730" spans="1:39" hidden="1" x14ac:dyDescent="0.2">
      <c r="A730" t="s">
        <v>995</v>
      </c>
      <c r="B730" t="s">
        <v>49</v>
      </c>
      <c r="C730" t="s">
        <v>35</v>
      </c>
      <c r="D730">
        <v>6.3</v>
      </c>
      <c r="E730">
        <v>0</v>
      </c>
      <c r="F730">
        <v>0</v>
      </c>
      <c r="G730">
        <v>0.3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 t="s">
        <v>869</v>
      </c>
      <c r="Z730">
        <v>75</v>
      </c>
      <c r="AA730">
        <v>23</v>
      </c>
      <c r="AB730">
        <v>736</v>
      </c>
      <c r="AC730">
        <v>77</v>
      </c>
      <c r="AD730">
        <v>743</v>
      </c>
      <c r="AE730">
        <v>79</v>
      </c>
      <c r="AF730">
        <v>315</v>
      </c>
      <c r="AG730">
        <v>51</v>
      </c>
    </row>
    <row r="731" spans="1:39" hidden="1" x14ac:dyDescent="0.2">
      <c r="A731" t="s">
        <v>870</v>
      </c>
      <c r="B731" t="s">
        <v>49</v>
      </c>
      <c r="C731" t="s">
        <v>41</v>
      </c>
      <c r="D731">
        <v>4.5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 t="s">
        <v>871</v>
      </c>
      <c r="Z731">
        <v>456</v>
      </c>
      <c r="AA731">
        <v>274</v>
      </c>
      <c r="AB731">
        <v>615</v>
      </c>
      <c r="AC731">
        <v>244</v>
      </c>
      <c r="AD731">
        <v>658</v>
      </c>
      <c r="AE731">
        <v>270</v>
      </c>
      <c r="AF731">
        <v>657</v>
      </c>
      <c r="AG731">
        <v>274</v>
      </c>
    </row>
    <row r="732" spans="1:39" x14ac:dyDescent="0.2">
      <c r="A732" t="s">
        <v>996</v>
      </c>
      <c r="B732" t="s">
        <v>49</v>
      </c>
      <c r="C732" t="s">
        <v>41</v>
      </c>
      <c r="D732">
        <v>4.4000000000000004</v>
      </c>
      <c r="E732">
        <v>0</v>
      </c>
      <c r="F732">
        <v>0</v>
      </c>
      <c r="G732">
        <v>0.1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 t="s">
        <v>1000</v>
      </c>
      <c r="Z732">
        <v>564</v>
      </c>
      <c r="AA732">
        <v>325</v>
      </c>
      <c r="AB732">
        <v>574</v>
      </c>
      <c r="AC732">
        <v>212</v>
      </c>
      <c r="AD732">
        <v>619</v>
      </c>
      <c r="AE732">
        <v>239</v>
      </c>
      <c r="AF732">
        <v>496</v>
      </c>
      <c r="AG732">
        <v>174</v>
      </c>
      <c r="AH732">
        <f>fpl_player_statistics_cleaned[[#This Row],[Total Points]] / fpl_player_statistics_cleaned[[#This Row],[Now Cost]]</f>
        <v>0</v>
      </c>
      <c r="AI732">
        <f>fpl_player_statistics_cleaned[[#This Row],[Goals Scored]] + fpl_player_statistics_cleaned[[#This Row],[Assists]]</f>
        <v>0</v>
      </c>
      <c r="AJ732" t="e">
        <f>fpl_player_statistics_cleaned[[#This Row],[Total Points]] / fpl_player_statistics_cleaned[[#This Row],[Starts]]</f>
        <v>#DIV/0!</v>
      </c>
      <c r="AK732">
        <f>((fpl_player_statistics_cleaned[[#This Row],[Points Per Game]]) * fpl_player_statistics_cleaned[[#This Row],[Form]]) / fpl_player_statistics_cleaned[[#This Row],[Now Cost]]</f>
        <v>0</v>
      </c>
      <c r="AL732" t="e">
        <f>fpl_player_statistics_cleaned[[#This Row],[Minutes]] / fpl_player_statistics_cleaned[[#This Row],[Total Points]]</f>
        <v>#DIV/0!</v>
      </c>
      <c r="AM732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733" spans="1:39" x14ac:dyDescent="0.2">
      <c r="A733" t="s">
        <v>872</v>
      </c>
      <c r="B733" t="s">
        <v>49</v>
      </c>
      <c r="C733" t="s">
        <v>41</v>
      </c>
      <c r="D733">
        <v>4.4000000000000004</v>
      </c>
      <c r="E733">
        <v>0</v>
      </c>
      <c r="F733">
        <v>0</v>
      </c>
      <c r="G733">
        <v>0.1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 t="s">
        <v>1000</v>
      </c>
      <c r="Z733">
        <v>547</v>
      </c>
      <c r="AA733">
        <v>314</v>
      </c>
      <c r="AB733">
        <v>560</v>
      </c>
      <c r="AC733">
        <v>202</v>
      </c>
      <c r="AD733">
        <v>605</v>
      </c>
      <c r="AE733">
        <v>229</v>
      </c>
      <c r="AF733">
        <v>566</v>
      </c>
      <c r="AG733">
        <v>210</v>
      </c>
      <c r="AH733">
        <f>fpl_player_statistics_cleaned[[#This Row],[Total Points]] / fpl_player_statistics_cleaned[[#This Row],[Now Cost]]</f>
        <v>0</v>
      </c>
      <c r="AI733">
        <f>fpl_player_statistics_cleaned[[#This Row],[Goals Scored]] + fpl_player_statistics_cleaned[[#This Row],[Assists]]</f>
        <v>0</v>
      </c>
      <c r="AJ733" t="e">
        <f>fpl_player_statistics_cleaned[[#This Row],[Total Points]] / fpl_player_statistics_cleaned[[#This Row],[Starts]]</f>
        <v>#DIV/0!</v>
      </c>
      <c r="AK733">
        <f>((fpl_player_statistics_cleaned[[#This Row],[Points Per Game]]) * fpl_player_statistics_cleaned[[#This Row],[Form]]) / fpl_player_statistics_cleaned[[#This Row],[Now Cost]]</f>
        <v>0</v>
      </c>
      <c r="AL733" t="e">
        <f>fpl_player_statistics_cleaned[[#This Row],[Minutes]] / fpl_player_statistics_cleaned[[#This Row],[Total Points]]</f>
        <v>#DIV/0!</v>
      </c>
      <c r="AM73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734" spans="1:39" x14ac:dyDescent="0.2">
      <c r="A734" t="s">
        <v>873</v>
      </c>
      <c r="B734" t="s">
        <v>43</v>
      </c>
      <c r="C734" t="s">
        <v>38</v>
      </c>
      <c r="D734">
        <v>4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 t="s">
        <v>1000</v>
      </c>
      <c r="Z734">
        <v>671</v>
      </c>
      <c r="AA734">
        <v>187</v>
      </c>
      <c r="AB734">
        <v>479</v>
      </c>
      <c r="AC734">
        <v>188</v>
      </c>
      <c r="AD734">
        <v>536</v>
      </c>
      <c r="AE734">
        <v>205</v>
      </c>
      <c r="AF734">
        <v>702</v>
      </c>
      <c r="AG734">
        <v>237</v>
      </c>
      <c r="AH734">
        <f>fpl_player_statistics_cleaned[[#This Row],[Total Points]] / fpl_player_statistics_cleaned[[#This Row],[Now Cost]]</f>
        <v>0</v>
      </c>
      <c r="AI734">
        <f>fpl_player_statistics_cleaned[[#This Row],[Goals Scored]] + fpl_player_statistics_cleaned[[#This Row],[Assists]]</f>
        <v>0</v>
      </c>
      <c r="AJ734" t="e">
        <f>fpl_player_statistics_cleaned[[#This Row],[Total Points]] / fpl_player_statistics_cleaned[[#This Row],[Starts]]</f>
        <v>#DIV/0!</v>
      </c>
      <c r="AK734">
        <f>((fpl_player_statistics_cleaned[[#This Row],[Points Per Game]]) * fpl_player_statistics_cleaned[[#This Row],[Form]]) / fpl_player_statistics_cleaned[[#This Row],[Now Cost]]</f>
        <v>0</v>
      </c>
      <c r="AL734" t="e">
        <f>fpl_player_statistics_cleaned[[#This Row],[Minutes]] / fpl_player_statistics_cleaned[[#This Row],[Total Points]]</f>
        <v>#DIV/0!</v>
      </c>
      <c r="AM734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735" spans="1:39" x14ac:dyDescent="0.2">
      <c r="A735" t="s">
        <v>874</v>
      </c>
      <c r="B735" t="s">
        <v>72</v>
      </c>
      <c r="C735" t="s">
        <v>38</v>
      </c>
      <c r="D735">
        <v>4.3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45</v>
      </c>
      <c r="K735">
        <v>0</v>
      </c>
      <c r="L735">
        <v>2</v>
      </c>
      <c r="M735">
        <v>0</v>
      </c>
      <c r="N735">
        <v>0</v>
      </c>
      <c r="O735">
        <v>0.3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0.25</v>
      </c>
      <c r="X735">
        <v>1</v>
      </c>
      <c r="Y735" t="s">
        <v>1000</v>
      </c>
      <c r="Z735">
        <v>575</v>
      </c>
      <c r="AA735">
        <v>136</v>
      </c>
      <c r="AB735">
        <v>511</v>
      </c>
      <c r="AC735">
        <v>211</v>
      </c>
      <c r="AD735">
        <v>562</v>
      </c>
      <c r="AE735">
        <v>223</v>
      </c>
      <c r="AF735">
        <v>582</v>
      </c>
      <c r="AG735">
        <v>210</v>
      </c>
      <c r="AH735">
        <f>fpl_player_statistics_cleaned[[#This Row],[Total Points]] / fpl_player_statistics_cleaned[[#This Row],[Now Cost]]</f>
        <v>0</v>
      </c>
      <c r="AI735">
        <f>fpl_player_statistics_cleaned[[#This Row],[Goals Scored]] + fpl_player_statistics_cleaned[[#This Row],[Assists]]</f>
        <v>0</v>
      </c>
      <c r="AJ735">
        <f>fpl_player_statistics_cleaned[[#This Row],[Total Points]] / fpl_player_statistics_cleaned[[#This Row],[Starts]]</f>
        <v>0</v>
      </c>
      <c r="AK735">
        <f>((fpl_player_statistics_cleaned[[#This Row],[Points Per Game]]) * fpl_player_statistics_cleaned[[#This Row],[Form]]) / fpl_player_statistics_cleaned[[#This Row],[Now Cost]]</f>
        <v>0</v>
      </c>
      <c r="AL735" t="e">
        <f>fpl_player_statistics_cleaned[[#This Row],[Minutes]] / fpl_player_statistics_cleaned[[#This Row],[Total Points]]</f>
        <v>#DIV/0!</v>
      </c>
      <c r="AM735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736" spans="1:39" x14ac:dyDescent="0.2">
      <c r="A736" t="s">
        <v>875</v>
      </c>
      <c r="B736" t="s">
        <v>43</v>
      </c>
      <c r="C736" t="s">
        <v>55</v>
      </c>
      <c r="D736">
        <v>4</v>
      </c>
      <c r="E736">
        <v>0</v>
      </c>
      <c r="F736">
        <v>0</v>
      </c>
      <c r="G736">
        <v>0.1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 t="s">
        <v>1000</v>
      </c>
      <c r="Z736">
        <v>632</v>
      </c>
      <c r="AA736">
        <v>51</v>
      </c>
      <c r="AB736">
        <v>449</v>
      </c>
      <c r="AC736">
        <v>45</v>
      </c>
      <c r="AD736">
        <v>506</v>
      </c>
      <c r="AE736">
        <v>52</v>
      </c>
      <c r="AF736">
        <v>463</v>
      </c>
      <c r="AG736">
        <v>73</v>
      </c>
      <c r="AH736">
        <f>fpl_player_statistics_cleaned[[#This Row],[Total Points]] / fpl_player_statistics_cleaned[[#This Row],[Now Cost]]</f>
        <v>0</v>
      </c>
      <c r="AI736">
        <f>fpl_player_statistics_cleaned[[#This Row],[Goals Scored]] + fpl_player_statistics_cleaned[[#This Row],[Assists]]</f>
        <v>0</v>
      </c>
      <c r="AJ736" t="e">
        <f>fpl_player_statistics_cleaned[[#This Row],[Total Points]] / fpl_player_statistics_cleaned[[#This Row],[Starts]]</f>
        <v>#DIV/0!</v>
      </c>
      <c r="AK736">
        <f>((fpl_player_statistics_cleaned[[#This Row],[Points Per Game]]) * fpl_player_statistics_cleaned[[#This Row],[Form]]) / fpl_player_statistics_cleaned[[#This Row],[Now Cost]]</f>
        <v>0</v>
      </c>
      <c r="AL736" t="e">
        <f>fpl_player_statistics_cleaned[[#This Row],[Minutes]] / fpl_player_statistics_cleaned[[#This Row],[Total Points]]</f>
        <v>#DIV/0!</v>
      </c>
      <c r="AM736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737" spans="1:39" x14ac:dyDescent="0.2">
      <c r="A737" t="s">
        <v>876</v>
      </c>
      <c r="B737" t="s">
        <v>72</v>
      </c>
      <c r="C737" t="s">
        <v>38</v>
      </c>
      <c r="D737">
        <v>3.9</v>
      </c>
      <c r="E737">
        <v>0</v>
      </c>
      <c r="F737">
        <v>0</v>
      </c>
      <c r="G737">
        <v>0.6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 t="s">
        <v>1000</v>
      </c>
      <c r="Z737">
        <v>734</v>
      </c>
      <c r="AA737">
        <v>232</v>
      </c>
      <c r="AB737">
        <v>422</v>
      </c>
      <c r="AC737">
        <v>159</v>
      </c>
      <c r="AD737">
        <v>479</v>
      </c>
      <c r="AE737">
        <v>176</v>
      </c>
      <c r="AF737">
        <v>221</v>
      </c>
      <c r="AG737">
        <v>82</v>
      </c>
      <c r="AH737">
        <f>fpl_player_statistics_cleaned[[#This Row],[Total Points]] / fpl_player_statistics_cleaned[[#This Row],[Now Cost]]</f>
        <v>0</v>
      </c>
      <c r="AI737">
        <f>fpl_player_statistics_cleaned[[#This Row],[Goals Scored]] + fpl_player_statistics_cleaned[[#This Row],[Assists]]</f>
        <v>0</v>
      </c>
      <c r="AJ737" t="e">
        <f>fpl_player_statistics_cleaned[[#This Row],[Total Points]] / fpl_player_statistics_cleaned[[#This Row],[Starts]]</f>
        <v>#DIV/0!</v>
      </c>
      <c r="AK737">
        <f>((fpl_player_statistics_cleaned[[#This Row],[Points Per Game]]) * fpl_player_statistics_cleaned[[#This Row],[Form]]) / fpl_player_statistics_cleaned[[#This Row],[Now Cost]]</f>
        <v>0</v>
      </c>
      <c r="AL737" t="e">
        <f>fpl_player_statistics_cleaned[[#This Row],[Minutes]] / fpl_player_statistics_cleaned[[#This Row],[Total Points]]</f>
        <v>#DIV/0!</v>
      </c>
      <c r="AM737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738" spans="1:39" hidden="1" x14ac:dyDescent="0.2">
      <c r="A738" t="s">
        <v>877</v>
      </c>
      <c r="B738" t="s">
        <v>47</v>
      </c>
      <c r="C738" t="s">
        <v>38</v>
      </c>
      <c r="D738">
        <v>4.5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 t="s">
        <v>816</v>
      </c>
      <c r="Z738">
        <v>463</v>
      </c>
      <c r="AA738">
        <v>98</v>
      </c>
      <c r="AB738">
        <v>621</v>
      </c>
      <c r="AC738">
        <v>231</v>
      </c>
      <c r="AD738">
        <v>664</v>
      </c>
      <c r="AE738">
        <v>240</v>
      </c>
      <c r="AF738">
        <v>707</v>
      </c>
      <c r="AG738">
        <v>238</v>
      </c>
    </row>
    <row r="739" spans="1:39" hidden="1" x14ac:dyDescent="0.2">
      <c r="A739" t="s">
        <v>878</v>
      </c>
      <c r="B739" t="s">
        <v>72</v>
      </c>
      <c r="C739" t="s">
        <v>41</v>
      </c>
      <c r="D739">
        <v>4.4000000000000004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 t="s">
        <v>879</v>
      </c>
      <c r="Z739">
        <v>554</v>
      </c>
      <c r="AA739">
        <v>319</v>
      </c>
      <c r="AB739">
        <v>565</v>
      </c>
      <c r="AC739">
        <v>206</v>
      </c>
      <c r="AD739">
        <v>610</v>
      </c>
      <c r="AE739">
        <v>233</v>
      </c>
      <c r="AF739">
        <v>594</v>
      </c>
      <c r="AG739">
        <v>232</v>
      </c>
    </row>
    <row r="740" spans="1:39" hidden="1" x14ac:dyDescent="0.2">
      <c r="A740" t="s">
        <v>880</v>
      </c>
      <c r="B740" t="s">
        <v>72</v>
      </c>
      <c r="C740" t="s">
        <v>41</v>
      </c>
      <c r="D740">
        <v>4.5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 t="s">
        <v>881</v>
      </c>
      <c r="Z740">
        <v>399</v>
      </c>
      <c r="AA740">
        <v>244</v>
      </c>
      <c r="AB740">
        <v>580</v>
      </c>
      <c r="AC740">
        <v>216</v>
      </c>
      <c r="AD740">
        <v>625</v>
      </c>
      <c r="AE740">
        <v>243</v>
      </c>
      <c r="AF740">
        <v>711</v>
      </c>
      <c r="AG740">
        <v>309</v>
      </c>
    </row>
    <row r="741" spans="1:39" hidden="1" x14ac:dyDescent="0.2">
      <c r="A741" t="s">
        <v>997</v>
      </c>
      <c r="B741" t="s">
        <v>47</v>
      </c>
      <c r="C741" t="s">
        <v>38</v>
      </c>
      <c r="D741">
        <v>4</v>
      </c>
      <c r="E741">
        <v>0</v>
      </c>
      <c r="F741">
        <v>0</v>
      </c>
      <c r="G741">
        <v>0.1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 t="s">
        <v>882</v>
      </c>
      <c r="Z741">
        <v>692</v>
      </c>
      <c r="AA741">
        <v>202</v>
      </c>
      <c r="AB741">
        <v>500</v>
      </c>
      <c r="AC741">
        <v>203</v>
      </c>
      <c r="AD741">
        <v>555</v>
      </c>
      <c r="AE741">
        <v>218</v>
      </c>
      <c r="AF741">
        <v>544</v>
      </c>
      <c r="AG741">
        <v>195</v>
      </c>
    </row>
    <row r="742" spans="1:39" hidden="1" x14ac:dyDescent="0.2">
      <c r="A742" t="s">
        <v>998</v>
      </c>
      <c r="B742" t="s">
        <v>72</v>
      </c>
      <c r="C742" t="s">
        <v>41</v>
      </c>
      <c r="D742">
        <v>4.9000000000000004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 t="s">
        <v>883</v>
      </c>
      <c r="Z742">
        <v>347</v>
      </c>
      <c r="AA742">
        <v>221</v>
      </c>
      <c r="AB742">
        <v>680</v>
      </c>
      <c r="AC742">
        <v>286</v>
      </c>
      <c r="AD742">
        <v>707</v>
      </c>
      <c r="AE742">
        <v>303</v>
      </c>
      <c r="AF742">
        <v>646</v>
      </c>
      <c r="AG742">
        <v>267</v>
      </c>
    </row>
    <row r="743" spans="1:39" hidden="1" x14ac:dyDescent="0.2">
      <c r="A743" t="s">
        <v>884</v>
      </c>
      <c r="B743" t="s">
        <v>47</v>
      </c>
      <c r="C743" t="s">
        <v>41</v>
      </c>
      <c r="D743">
        <v>5.9</v>
      </c>
      <c r="E743">
        <v>0</v>
      </c>
      <c r="F743">
        <v>0</v>
      </c>
      <c r="G743">
        <v>0.1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 t="s">
        <v>885</v>
      </c>
      <c r="Z743">
        <v>99</v>
      </c>
      <c r="AA743">
        <v>66</v>
      </c>
      <c r="AB743">
        <v>731</v>
      </c>
      <c r="AC743">
        <v>322</v>
      </c>
      <c r="AD743">
        <v>740</v>
      </c>
      <c r="AE743">
        <v>327</v>
      </c>
      <c r="AF743">
        <v>483</v>
      </c>
      <c r="AG743">
        <v>168</v>
      </c>
    </row>
    <row r="744" spans="1:39" hidden="1" x14ac:dyDescent="0.2">
      <c r="A744" t="s">
        <v>886</v>
      </c>
      <c r="B744" t="s">
        <v>47</v>
      </c>
      <c r="C744" t="s">
        <v>41</v>
      </c>
      <c r="D744">
        <v>5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 t="s">
        <v>887</v>
      </c>
      <c r="Z744">
        <v>270</v>
      </c>
      <c r="AA744">
        <v>166</v>
      </c>
      <c r="AB744">
        <v>687</v>
      </c>
      <c r="AC744">
        <v>291</v>
      </c>
      <c r="AD744">
        <v>713</v>
      </c>
      <c r="AE744">
        <v>308</v>
      </c>
      <c r="AF744">
        <v>705</v>
      </c>
      <c r="AG744">
        <v>305</v>
      </c>
    </row>
    <row r="745" spans="1:39" hidden="1" x14ac:dyDescent="0.2">
      <c r="A745" t="s">
        <v>999</v>
      </c>
      <c r="B745" t="s">
        <v>47</v>
      </c>
      <c r="C745" t="s">
        <v>41</v>
      </c>
      <c r="D745">
        <v>4.3</v>
      </c>
      <c r="E745">
        <v>0</v>
      </c>
      <c r="F745">
        <v>0</v>
      </c>
      <c r="G745">
        <v>0.1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 t="s">
        <v>888</v>
      </c>
      <c r="Z745">
        <v>596</v>
      </c>
      <c r="AA745">
        <v>331</v>
      </c>
      <c r="AB745">
        <v>521</v>
      </c>
      <c r="AC745">
        <v>184</v>
      </c>
      <c r="AD745">
        <v>571</v>
      </c>
      <c r="AE745">
        <v>212</v>
      </c>
      <c r="AF745">
        <v>519</v>
      </c>
      <c r="AG745">
        <v>184</v>
      </c>
    </row>
    <row r="746" spans="1:39" hidden="1" x14ac:dyDescent="0.2">
      <c r="A746" t="s">
        <v>889</v>
      </c>
      <c r="B746" t="s">
        <v>47</v>
      </c>
      <c r="C746" t="s">
        <v>41</v>
      </c>
      <c r="D746">
        <v>4.5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 t="s">
        <v>816</v>
      </c>
      <c r="Z746">
        <v>480</v>
      </c>
      <c r="AA746">
        <v>291</v>
      </c>
      <c r="AB746">
        <v>636</v>
      </c>
      <c r="AC746">
        <v>259</v>
      </c>
      <c r="AD746">
        <v>677</v>
      </c>
      <c r="AE746">
        <v>283</v>
      </c>
      <c r="AF746">
        <v>723</v>
      </c>
      <c r="AG746">
        <v>317</v>
      </c>
    </row>
    <row r="747" spans="1:39" hidden="1" x14ac:dyDescent="0.2">
      <c r="A747" t="s">
        <v>890</v>
      </c>
      <c r="B747" t="s">
        <v>47</v>
      </c>
      <c r="C747" t="s">
        <v>35</v>
      </c>
      <c r="D747">
        <v>6.5</v>
      </c>
      <c r="E747">
        <v>0</v>
      </c>
      <c r="F747">
        <v>0</v>
      </c>
      <c r="G747">
        <v>0.1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 t="s">
        <v>891</v>
      </c>
      <c r="Z747">
        <v>59</v>
      </c>
      <c r="AA747">
        <v>19</v>
      </c>
      <c r="AB747">
        <v>740</v>
      </c>
      <c r="AC747">
        <v>80</v>
      </c>
      <c r="AD747">
        <v>747</v>
      </c>
      <c r="AE747">
        <v>82</v>
      </c>
      <c r="AF747">
        <v>498</v>
      </c>
      <c r="AG747">
        <v>68</v>
      </c>
    </row>
    <row r="748" spans="1:39" x14ac:dyDescent="0.2">
      <c r="A748" t="s">
        <v>892</v>
      </c>
      <c r="B748" t="s">
        <v>47</v>
      </c>
      <c r="C748" t="s">
        <v>41</v>
      </c>
      <c r="D748">
        <v>4.5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 t="s">
        <v>1000</v>
      </c>
      <c r="Z748">
        <v>481</v>
      </c>
      <c r="AA748">
        <v>292</v>
      </c>
      <c r="AB748">
        <v>637</v>
      </c>
      <c r="AC748">
        <v>260</v>
      </c>
      <c r="AD748">
        <v>678</v>
      </c>
      <c r="AE748">
        <v>284</v>
      </c>
      <c r="AF748">
        <v>712</v>
      </c>
      <c r="AG748">
        <v>310</v>
      </c>
      <c r="AH748">
        <f>fpl_player_statistics_cleaned[[#This Row],[Total Points]] / fpl_player_statistics_cleaned[[#This Row],[Now Cost]]</f>
        <v>0</v>
      </c>
      <c r="AI748">
        <f>fpl_player_statistics_cleaned[[#This Row],[Goals Scored]] + fpl_player_statistics_cleaned[[#This Row],[Assists]]</f>
        <v>0</v>
      </c>
      <c r="AJ748" t="e">
        <f>fpl_player_statistics_cleaned[[#This Row],[Total Points]] / fpl_player_statistics_cleaned[[#This Row],[Starts]]</f>
        <v>#DIV/0!</v>
      </c>
      <c r="AK748">
        <f>((fpl_player_statistics_cleaned[[#This Row],[Points Per Game]]) * fpl_player_statistics_cleaned[[#This Row],[Form]]) / fpl_player_statistics_cleaned[[#This Row],[Now Cost]]</f>
        <v>0</v>
      </c>
      <c r="AL748" t="e">
        <f>fpl_player_statistics_cleaned[[#This Row],[Minutes]] / fpl_player_statistics_cleaned[[#This Row],[Total Points]]</f>
        <v>#DIV/0!</v>
      </c>
      <c r="AM748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749" spans="1:39" x14ac:dyDescent="0.2">
      <c r="A749" t="s">
        <v>893</v>
      </c>
      <c r="B749" t="s">
        <v>43</v>
      </c>
      <c r="C749" t="s">
        <v>55</v>
      </c>
      <c r="D749">
        <v>4</v>
      </c>
      <c r="E749">
        <v>0</v>
      </c>
      <c r="F749">
        <v>0</v>
      </c>
      <c r="G749">
        <v>0.3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 t="s">
        <v>1000</v>
      </c>
      <c r="Z749">
        <v>627</v>
      </c>
      <c r="AA749">
        <v>49</v>
      </c>
      <c r="AB749">
        <v>444</v>
      </c>
      <c r="AC749">
        <v>43</v>
      </c>
      <c r="AD749">
        <v>501</v>
      </c>
      <c r="AE749">
        <v>50</v>
      </c>
      <c r="AF749">
        <v>300</v>
      </c>
      <c r="AG749">
        <v>42</v>
      </c>
      <c r="AH749">
        <f>fpl_player_statistics_cleaned[[#This Row],[Total Points]] / fpl_player_statistics_cleaned[[#This Row],[Now Cost]]</f>
        <v>0</v>
      </c>
      <c r="AI749">
        <f>fpl_player_statistics_cleaned[[#This Row],[Goals Scored]] + fpl_player_statistics_cleaned[[#This Row],[Assists]]</f>
        <v>0</v>
      </c>
      <c r="AJ749" t="e">
        <f>fpl_player_statistics_cleaned[[#This Row],[Total Points]] / fpl_player_statistics_cleaned[[#This Row],[Starts]]</f>
        <v>#DIV/0!</v>
      </c>
      <c r="AK749">
        <f>((fpl_player_statistics_cleaned[[#This Row],[Points Per Game]]) * fpl_player_statistics_cleaned[[#This Row],[Form]]) / fpl_player_statistics_cleaned[[#This Row],[Now Cost]]</f>
        <v>0</v>
      </c>
      <c r="AL749" t="e">
        <f>fpl_player_statistics_cleaned[[#This Row],[Minutes]] / fpl_player_statistics_cleaned[[#This Row],[Total Points]]</f>
        <v>#DIV/0!</v>
      </c>
      <c r="AM749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750" spans="1:39" hidden="1" x14ac:dyDescent="0.2">
      <c r="A750" t="s">
        <v>894</v>
      </c>
      <c r="B750" t="s">
        <v>72</v>
      </c>
      <c r="C750" t="s">
        <v>38</v>
      </c>
      <c r="D750">
        <v>4</v>
      </c>
      <c r="E750">
        <v>0</v>
      </c>
      <c r="F750">
        <v>0</v>
      </c>
      <c r="G750">
        <v>0.2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 t="s">
        <v>569</v>
      </c>
      <c r="Z750">
        <v>631</v>
      </c>
      <c r="AA750">
        <v>164</v>
      </c>
      <c r="AB750">
        <v>448</v>
      </c>
      <c r="AC750">
        <v>174</v>
      </c>
      <c r="AD750">
        <v>505</v>
      </c>
      <c r="AE750">
        <v>191</v>
      </c>
      <c r="AF750">
        <v>370</v>
      </c>
      <c r="AG750">
        <v>132</v>
      </c>
    </row>
    <row r="751" spans="1:39" x14ac:dyDescent="0.2">
      <c r="A751" t="s">
        <v>895</v>
      </c>
      <c r="B751" t="s">
        <v>72</v>
      </c>
      <c r="C751" t="s">
        <v>38</v>
      </c>
      <c r="D751">
        <v>3.9</v>
      </c>
      <c r="E751">
        <v>0</v>
      </c>
      <c r="F751">
        <v>0</v>
      </c>
      <c r="G751">
        <v>0.2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 t="s">
        <v>1000</v>
      </c>
      <c r="Z751">
        <v>742</v>
      </c>
      <c r="AA751">
        <v>240</v>
      </c>
      <c r="AB751">
        <v>428</v>
      </c>
      <c r="AC751">
        <v>165</v>
      </c>
      <c r="AD751">
        <v>485</v>
      </c>
      <c r="AE751">
        <v>182</v>
      </c>
      <c r="AF751">
        <v>354</v>
      </c>
      <c r="AG751">
        <v>127</v>
      </c>
      <c r="AH751">
        <f>fpl_player_statistics_cleaned[[#This Row],[Total Points]] / fpl_player_statistics_cleaned[[#This Row],[Now Cost]]</f>
        <v>0</v>
      </c>
      <c r="AI751">
        <f>fpl_player_statistics_cleaned[[#This Row],[Goals Scored]] + fpl_player_statistics_cleaned[[#This Row],[Assists]]</f>
        <v>0</v>
      </c>
      <c r="AJ751" t="e">
        <f>fpl_player_statistics_cleaned[[#This Row],[Total Points]] / fpl_player_statistics_cleaned[[#This Row],[Starts]]</f>
        <v>#DIV/0!</v>
      </c>
      <c r="AK751">
        <f>((fpl_player_statistics_cleaned[[#This Row],[Points Per Game]]) * fpl_player_statistics_cleaned[[#This Row],[Form]]) / fpl_player_statistics_cleaned[[#This Row],[Now Cost]]</f>
        <v>0</v>
      </c>
      <c r="AL751" t="e">
        <f>fpl_player_statistics_cleaned[[#This Row],[Minutes]] / fpl_player_statistics_cleaned[[#This Row],[Total Points]]</f>
        <v>#DIV/0!</v>
      </c>
      <c r="AM751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  <row r="752" spans="1:39" hidden="1" x14ac:dyDescent="0.2">
      <c r="A752" t="s">
        <v>896</v>
      </c>
      <c r="B752" t="s">
        <v>72</v>
      </c>
      <c r="C752" t="s">
        <v>38</v>
      </c>
      <c r="D752">
        <v>3.9</v>
      </c>
      <c r="E752">
        <v>0</v>
      </c>
      <c r="F752">
        <v>0</v>
      </c>
      <c r="G752">
        <v>0.1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 t="s">
        <v>417</v>
      </c>
      <c r="Z752">
        <v>713</v>
      </c>
      <c r="AA752">
        <v>218</v>
      </c>
      <c r="AB752">
        <v>402</v>
      </c>
      <c r="AC752">
        <v>146</v>
      </c>
      <c r="AD752">
        <v>460</v>
      </c>
      <c r="AE752">
        <v>164</v>
      </c>
      <c r="AF752">
        <v>422</v>
      </c>
      <c r="AG752">
        <v>156</v>
      </c>
    </row>
    <row r="753" spans="1:39" x14ac:dyDescent="0.2">
      <c r="A753" t="s">
        <v>897</v>
      </c>
      <c r="B753" t="s">
        <v>100</v>
      </c>
      <c r="C753" t="s">
        <v>55</v>
      </c>
      <c r="D753">
        <v>4.3</v>
      </c>
      <c r="E753">
        <v>0</v>
      </c>
      <c r="F753">
        <v>0</v>
      </c>
      <c r="G753">
        <v>0.4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 t="s">
        <v>898</v>
      </c>
      <c r="Z753">
        <v>588</v>
      </c>
      <c r="AA753">
        <v>36</v>
      </c>
      <c r="AB753">
        <v>518</v>
      </c>
      <c r="AC753">
        <v>73</v>
      </c>
      <c r="AD753">
        <v>568</v>
      </c>
      <c r="AE753">
        <v>78</v>
      </c>
      <c r="AF753">
        <v>268</v>
      </c>
      <c r="AG753">
        <v>35</v>
      </c>
      <c r="AH753">
        <f>fpl_player_statistics_cleaned[[#This Row],[Total Points]] / fpl_player_statistics_cleaned[[#This Row],[Now Cost]]</f>
        <v>0</v>
      </c>
      <c r="AI753">
        <f>fpl_player_statistics_cleaned[[#This Row],[Goals Scored]] + fpl_player_statistics_cleaned[[#This Row],[Assists]]</f>
        <v>0</v>
      </c>
      <c r="AJ753" t="e">
        <f>fpl_player_statistics_cleaned[[#This Row],[Total Points]] / fpl_player_statistics_cleaned[[#This Row],[Starts]]</f>
        <v>#DIV/0!</v>
      </c>
      <c r="AK753">
        <f>((fpl_player_statistics_cleaned[[#This Row],[Points Per Game]]) * fpl_player_statistics_cleaned[[#This Row],[Form]]) / fpl_player_statistics_cleaned[[#This Row],[Now Cost]]</f>
        <v>0</v>
      </c>
      <c r="AL753" t="e">
        <f>fpl_player_statistics_cleaned[[#This Row],[Minutes]] / fpl_player_statistics_cleaned[[#This Row],[Total Points]]</f>
        <v>#DIV/0!</v>
      </c>
      <c r="AM753">
        <f xml:space="preserve"> ((fpl_player_statistics_cleaned[[#This Row],[Total Points]] * fpl_player_statistics_cleaned[[#This Row],[Form]]) / fpl_player_statistics_cleaned[[#This Row],[Now Cost]]) * fpl_player_statistics_cleaned[[#This Row],[Points Per Game]]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D055-95C9-2443-9019-6D6C703BCE9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300A3F-1DCD-5B42-8B9E-4BB1ECFF10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Calculated field</vt:lpstr>
      <vt:lpstr>fpl_player_statistics_cleaned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Devadarsan Nikarthil Aneesh</cp:lastModifiedBy>
  <dcterms:created xsi:type="dcterms:W3CDTF">2025-11-10T20:35:14Z</dcterms:created>
  <dcterms:modified xsi:type="dcterms:W3CDTF">2025-11-10T21:27:57Z</dcterms:modified>
</cp:coreProperties>
</file>